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5C936B3-4BAD-4C59-8EA4-6C049EAC5D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regio F" sheetId="14" r:id="rId1"/>
    <sheet name="Banregio T " sheetId="13" r:id="rId2"/>
    <sheet name="BANREGIO GTS" sheetId="2" r:id="rId3"/>
    <sheet name="BANREGIO TDC" sheetId="19" r:id="rId4"/>
    <sheet name="SALDOS A FAVOR P" sheetId="4" state="hidden" r:id="rId5"/>
  </sheets>
  <externalReferences>
    <externalReference r:id="rId6"/>
  </externalReferences>
  <definedNames>
    <definedName name="_xlnm._FilterDatabase" localSheetId="0" hidden="1">'Banregio F'!$A$5:$E$1413</definedName>
    <definedName name="_xlnm._FilterDatabase" localSheetId="2" hidden="1">'BANREGIO GTS'!$A$5:$E$94</definedName>
    <definedName name="_xlnm._FilterDatabase" localSheetId="1" hidden="1">'Banregio T '!$A$5:$E$505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4" i="2" s="1"/>
  <c r="E3" i="13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E377" i="13" s="1"/>
  <c r="E378" i="13" s="1"/>
  <c r="E379" i="13" s="1"/>
  <c r="E380" i="13" s="1"/>
  <c r="E381" i="13" s="1"/>
  <c r="E382" i="13" s="1"/>
  <c r="E383" i="13" s="1"/>
  <c r="E384" i="13" s="1"/>
  <c r="E385" i="13" s="1"/>
  <c r="E386" i="13" s="1"/>
  <c r="E387" i="13" s="1"/>
  <c r="E388" i="13" s="1"/>
  <c r="E389" i="13" s="1"/>
  <c r="E390" i="13" s="1"/>
  <c r="E391" i="13" s="1"/>
  <c r="E392" i="13" s="1"/>
  <c r="E393" i="13" s="1"/>
  <c r="E394" i="13" s="1"/>
  <c r="E395" i="13" s="1"/>
  <c r="E396" i="13" s="1"/>
  <c r="E397" i="13" s="1"/>
  <c r="E398" i="13" s="1"/>
  <c r="E399" i="13" s="1"/>
  <c r="E400" i="13" s="1"/>
  <c r="E401" i="13" s="1"/>
  <c r="E402" i="13" s="1"/>
  <c r="E403" i="13" s="1"/>
  <c r="E404" i="13" s="1"/>
  <c r="E405" i="13" s="1"/>
  <c r="E406" i="13" s="1"/>
  <c r="E407" i="13" s="1"/>
  <c r="E408" i="13" s="1"/>
  <c r="E409" i="13" s="1"/>
  <c r="E410" i="13" s="1"/>
  <c r="E411" i="13" s="1"/>
  <c r="E412" i="13" s="1"/>
  <c r="E413" i="13" s="1"/>
  <c r="E414" i="13" s="1"/>
  <c r="E415" i="13" s="1"/>
  <c r="E416" i="13" s="1"/>
  <c r="E417" i="13" s="1"/>
  <c r="E418" i="13" s="1"/>
  <c r="E419" i="13" s="1"/>
  <c r="E420" i="13" s="1"/>
  <c r="E421" i="13" s="1"/>
  <c r="E422" i="13" s="1"/>
  <c r="E423" i="13" s="1"/>
  <c r="E424" i="13" s="1"/>
  <c r="E425" i="13" s="1"/>
  <c r="E426" i="13" s="1"/>
  <c r="E427" i="13" s="1"/>
  <c r="E428" i="13" s="1"/>
  <c r="E429" i="13" s="1"/>
  <c r="E430" i="13" s="1"/>
  <c r="E431" i="13" s="1"/>
  <c r="E432" i="13" s="1"/>
  <c r="E433" i="13" s="1"/>
  <c r="E434" i="13" s="1"/>
  <c r="E435" i="13" s="1"/>
  <c r="E436" i="13" s="1"/>
  <c r="E437" i="13" s="1"/>
  <c r="E438" i="13" s="1"/>
  <c r="E439" i="13" s="1"/>
  <c r="E440" i="13" s="1"/>
  <c r="E441" i="13" s="1"/>
  <c r="E442" i="13" s="1"/>
  <c r="E443" i="13" s="1"/>
  <c r="E444" i="13" s="1"/>
  <c r="E445" i="13" s="1"/>
  <c r="E446" i="13" s="1"/>
  <c r="E447" i="13" s="1"/>
  <c r="E448" i="13" s="1"/>
  <c r="E449" i="13" s="1"/>
  <c r="E450" i="13" s="1"/>
  <c r="E451" i="13" s="1"/>
  <c r="E452" i="13" s="1"/>
  <c r="E453" i="13" s="1"/>
  <c r="E454" i="13" s="1"/>
  <c r="E455" i="13" s="1"/>
  <c r="E456" i="13" s="1"/>
  <c r="E457" i="13" s="1"/>
  <c r="E458" i="13" s="1"/>
  <c r="E459" i="13" s="1"/>
  <c r="E460" i="13" s="1"/>
  <c r="E461" i="13" s="1"/>
  <c r="E462" i="13" s="1"/>
  <c r="E463" i="13" s="1"/>
  <c r="E464" i="13" s="1"/>
  <c r="E465" i="13" s="1"/>
  <c r="E466" i="13" s="1"/>
  <c r="E467" i="13" s="1"/>
  <c r="E468" i="13" s="1"/>
  <c r="E469" i="13" s="1"/>
  <c r="E470" i="13" s="1"/>
  <c r="E471" i="13" s="1"/>
  <c r="E472" i="13" s="1"/>
  <c r="E473" i="13" s="1"/>
  <c r="E474" i="13" s="1"/>
  <c r="E475" i="13" s="1"/>
  <c r="E476" i="13" s="1"/>
  <c r="E477" i="13" s="1"/>
  <c r="E478" i="13" s="1"/>
  <c r="E479" i="13" s="1"/>
  <c r="E480" i="13" s="1"/>
  <c r="E481" i="13" s="1"/>
  <c r="E482" i="13" s="1"/>
  <c r="E483" i="13" s="1"/>
  <c r="E484" i="13" s="1"/>
  <c r="E485" i="13" s="1"/>
  <c r="E486" i="13" s="1"/>
  <c r="E487" i="13" s="1"/>
  <c r="E488" i="13" s="1"/>
  <c r="E489" i="13" s="1"/>
  <c r="E490" i="13" s="1"/>
  <c r="E491" i="13" s="1"/>
  <c r="E492" i="13" s="1"/>
  <c r="E493" i="13" s="1"/>
  <c r="E494" i="13" s="1"/>
  <c r="E495" i="13" s="1"/>
  <c r="E496" i="13" s="1"/>
  <c r="E497" i="13" s="1"/>
  <c r="E498" i="13" s="1"/>
  <c r="E499" i="13" s="1"/>
  <c r="E500" i="13" s="1"/>
  <c r="E501" i="13" s="1"/>
  <c r="E502" i="13" s="1"/>
  <c r="E503" i="13" s="1"/>
  <c r="E504" i="13" s="1"/>
  <c r="E505" i="13" s="1"/>
  <c r="E506" i="13" s="1"/>
  <c r="E507" i="13" s="1"/>
  <c r="E508" i="13" s="1"/>
  <c r="E509" i="13" s="1"/>
  <c r="E510" i="13" s="1"/>
  <c r="E511" i="13" s="1"/>
  <c r="E512" i="13" s="1"/>
  <c r="E513" i="13" s="1"/>
  <c r="E514" i="13" s="1"/>
  <c r="E515" i="13" s="1"/>
  <c r="E516" i="13" s="1"/>
  <c r="E517" i="13" s="1"/>
  <c r="E518" i="13" s="1"/>
  <c r="E519" i="13" s="1"/>
  <c r="E520" i="13" s="1"/>
  <c r="E4" i="13" s="1"/>
  <c r="E8" i="19" l="1"/>
  <c r="E9" i="19" s="1"/>
  <c r="E10" i="19" s="1"/>
  <c r="E11" i="19" s="1"/>
  <c r="E12" i="19" s="1"/>
  <c r="E13" i="19" s="1"/>
  <c r="E14" i="19" s="1"/>
  <c r="E15" i="19" s="1"/>
  <c r="E16" i="19" s="1"/>
  <c r="E17" i="19" s="1"/>
  <c r="E18" i="19" l="1"/>
  <c r="E19" i="19" s="1"/>
  <c r="E20" i="19" s="1"/>
  <c r="E21" i="19" s="1"/>
  <c r="E22" i="19" s="1"/>
  <c r="E23" i="19" s="1"/>
  <c r="E6" i="19" l="1"/>
  <c r="D1425" i="14" l="1"/>
  <c r="C1425" i="14"/>
  <c r="D522" i="13"/>
  <c r="D526" i="13" s="1"/>
  <c r="C522" i="13"/>
  <c r="C526" i="13" s="1"/>
  <c r="C94" i="2" l="1"/>
  <c r="C98" i="2" s="1"/>
  <c r="D1429" i="14" l="1"/>
  <c r="C1429" i="14"/>
  <c r="D94" i="2"/>
  <c r="D37" i="4" l="1"/>
  <c r="H22" i="4"/>
  <c r="D21" i="4"/>
  <c r="E21" i="4" s="1"/>
  <c r="H21" i="4" s="1"/>
  <c r="E20" i="4"/>
  <c r="H20" i="4" s="1"/>
  <c r="H19" i="4"/>
  <c r="H18" i="4"/>
  <c r="F17" i="4"/>
  <c r="H17" i="4" s="1"/>
  <c r="H16" i="4"/>
  <c r="H15" i="4"/>
  <c r="H14" i="4"/>
  <c r="H13" i="4"/>
  <c r="H12" i="4"/>
  <c r="H11" i="4"/>
  <c r="H10" i="4"/>
  <c r="E9" i="4"/>
  <c r="E24" i="4" s="1"/>
  <c r="D98" i="2"/>
  <c r="H9" i="4" l="1"/>
  <c r="H24" i="4" s="1"/>
  <c r="E3" i="14" l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405" i="14" s="1"/>
  <c r="E406" i="14" s="1"/>
  <c r="E407" i="14" s="1"/>
  <c r="E408" i="14" s="1"/>
  <c r="E409" i="14" s="1"/>
  <c r="E410" i="14" s="1"/>
  <c r="E411" i="14" s="1"/>
  <c r="E412" i="14" s="1"/>
  <c r="E413" i="14" s="1"/>
  <c r="E414" i="14" s="1"/>
  <c r="E415" i="14" s="1"/>
  <c r="E416" i="14" s="1"/>
  <c r="E417" i="14" s="1"/>
  <c r="E418" i="14" s="1"/>
  <c r="E419" i="14" s="1"/>
  <c r="E420" i="14" s="1"/>
  <c r="E421" i="14" s="1"/>
  <c r="E422" i="14" s="1"/>
  <c r="E423" i="14" s="1"/>
  <c r="E424" i="14" s="1"/>
  <c r="E425" i="14" s="1"/>
  <c r="E426" i="14" s="1"/>
  <c r="E427" i="14" s="1"/>
  <c r="E428" i="14" s="1"/>
  <c r="E429" i="14" s="1"/>
  <c r="E430" i="14" s="1"/>
  <c r="E431" i="14" s="1"/>
  <c r="E432" i="14" s="1"/>
  <c r="E433" i="14" s="1"/>
  <c r="E434" i="14" s="1"/>
  <c r="E435" i="14" s="1"/>
  <c r="E436" i="14" s="1"/>
  <c r="E437" i="14" s="1"/>
  <c r="E438" i="14" s="1"/>
  <c r="E439" i="14" s="1"/>
  <c r="E440" i="14" s="1"/>
  <c r="E441" i="14" s="1"/>
  <c r="E442" i="14" s="1"/>
  <c r="E443" i="14" s="1"/>
  <c r="E444" i="14" s="1"/>
  <c r="E445" i="14" s="1"/>
  <c r="E446" i="14" s="1"/>
  <c r="E447" i="14" s="1"/>
  <c r="E448" i="14" s="1"/>
  <c r="E449" i="14" s="1"/>
  <c r="E450" i="14" s="1"/>
  <c r="E451" i="14" s="1"/>
  <c r="E452" i="14" s="1"/>
  <c r="E453" i="14" s="1"/>
  <c r="E454" i="14" s="1"/>
  <c r="E455" i="14" s="1"/>
  <c r="E456" i="14" s="1"/>
  <c r="E457" i="14" s="1"/>
  <c r="E458" i="14" s="1"/>
  <c r="E459" i="14" s="1"/>
  <c r="E460" i="14" s="1"/>
  <c r="E461" i="14" s="1"/>
  <c r="E462" i="14" s="1"/>
  <c r="E463" i="14" s="1"/>
  <c r="E464" i="14" s="1"/>
  <c r="E465" i="14" s="1"/>
  <c r="E466" i="14" s="1"/>
  <c r="E467" i="14" s="1"/>
  <c r="E468" i="14" s="1"/>
  <c r="E469" i="14" s="1"/>
  <c r="E470" i="14" s="1"/>
  <c r="E471" i="14" s="1"/>
  <c r="E472" i="14" s="1"/>
  <c r="E473" i="14" s="1"/>
  <c r="E474" i="14" s="1"/>
  <c r="E475" i="14" s="1"/>
  <c r="E476" i="14" s="1"/>
  <c r="E477" i="14" s="1"/>
  <c r="E478" i="14" s="1"/>
  <c r="E479" i="14" s="1"/>
  <c r="E480" i="14" s="1"/>
  <c r="E481" i="14" s="1"/>
  <c r="E482" i="14" s="1"/>
  <c r="E483" i="14" s="1"/>
  <c r="E484" i="14" s="1"/>
  <c r="E485" i="14" s="1"/>
  <c r="E486" i="14" s="1"/>
  <c r="E487" i="14" s="1"/>
  <c r="E488" i="14" s="1"/>
  <c r="E489" i="14" s="1"/>
  <c r="E490" i="14" s="1"/>
  <c r="E491" i="14" s="1"/>
  <c r="E492" i="14" s="1"/>
  <c r="E493" i="14" s="1"/>
  <c r="E494" i="14" s="1"/>
  <c r="E495" i="14" s="1"/>
  <c r="E496" i="14" s="1"/>
  <c r="E497" i="14" s="1"/>
  <c r="E498" i="14" s="1"/>
  <c r="E499" i="14" s="1"/>
  <c r="E500" i="14" s="1"/>
  <c r="E501" i="14" s="1"/>
  <c r="E502" i="14" s="1"/>
  <c r="E503" i="14" s="1"/>
  <c r="E504" i="14" s="1"/>
  <c r="E505" i="14" s="1"/>
  <c r="E506" i="14" s="1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31" i="14" s="1"/>
  <c r="E632" i="14" s="1"/>
  <c r="E633" i="14" s="1"/>
  <c r="E634" i="14" s="1"/>
  <c r="E635" i="14" s="1"/>
  <c r="E636" i="14" s="1"/>
  <c r="E637" i="14" s="1"/>
  <c r="E638" i="14" s="1"/>
  <c r="E639" i="14" s="1"/>
  <c r="E640" i="14" s="1"/>
  <c r="E641" i="14" s="1"/>
  <c r="E642" i="14" s="1"/>
  <c r="E643" i="14" s="1"/>
  <c r="E644" i="14" s="1"/>
  <c r="E645" i="14" s="1"/>
  <c r="E646" i="14" s="1"/>
  <c r="E647" i="14" s="1"/>
  <c r="E648" i="14" s="1"/>
  <c r="E649" i="14" s="1"/>
  <c r="E650" i="14" s="1"/>
  <c r="E651" i="14" s="1"/>
  <c r="E652" i="14" s="1"/>
  <c r="E653" i="14" s="1"/>
  <c r="E654" i="14" s="1"/>
  <c r="E655" i="14" s="1"/>
  <c r="E656" i="14" s="1"/>
  <c r="E657" i="14" s="1"/>
  <c r="E658" i="14" s="1"/>
  <c r="E659" i="14" s="1"/>
  <c r="E660" i="14" s="1"/>
  <c r="E661" i="14" s="1"/>
  <c r="E662" i="14" s="1"/>
  <c r="E663" i="14" s="1"/>
  <c r="E664" i="14" s="1"/>
  <c r="E665" i="14" s="1"/>
  <c r="E666" i="14" s="1"/>
  <c r="E667" i="14" s="1"/>
  <c r="E668" i="14" s="1"/>
  <c r="E669" i="14" s="1"/>
  <c r="E670" i="14" s="1"/>
  <c r="E671" i="14" s="1"/>
  <c r="E672" i="14" s="1"/>
  <c r="E673" i="14" s="1"/>
  <c r="E674" i="14" s="1"/>
  <c r="E675" i="14" s="1"/>
  <c r="E676" i="14" s="1"/>
  <c r="E677" i="14" s="1"/>
  <c r="E678" i="14" s="1"/>
  <c r="E679" i="14" s="1"/>
  <c r="E680" i="14" s="1"/>
  <c r="E681" i="14" s="1"/>
  <c r="E682" i="14" s="1"/>
  <c r="E683" i="14" s="1"/>
  <c r="E684" i="14" s="1"/>
  <c r="E685" i="14" s="1"/>
  <c r="E686" i="14" s="1"/>
  <c r="E687" i="14" s="1"/>
  <c r="E688" i="14" s="1"/>
  <c r="E689" i="14" s="1"/>
  <c r="E690" i="14" s="1"/>
  <c r="E691" i="14" s="1"/>
  <c r="E692" i="14" s="1"/>
  <c r="E693" i="14" s="1"/>
  <c r="E694" i="14" s="1"/>
  <c r="E695" i="14" s="1"/>
  <c r="E696" i="14" s="1"/>
  <c r="E697" i="14" s="1"/>
  <c r="E698" i="14" s="1"/>
  <c r="E699" i="14" s="1"/>
  <c r="E700" i="14" s="1"/>
  <c r="E701" i="14" s="1"/>
  <c r="E702" i="14" s="1"/>
  <c r="E703" i="14" s="1"/>
  <c r="E704" i="14" s="1"/>
  <c r="E705" i="14" s="1"/>
  <c r="E706" i="14" s="1"/>
  <c r="E707" i="14" s="1"/>
  <c r="E708" i="14" s="1"/>
  <c r="E709" i="14" s="1"/>
  <c r="E710" i="14" s="1"/>
  <c r="E711" i="14" s="1"/>
  <c r="E712" i="14" s="1"/>
  <c r="E713" i="14" s="1"/>
  <c r="E714" i="14" s="1"/>
  <c r="E715" i="14" s="1"/>
  <c r="E716" i="14" s="1"/>
  <c r="E717" i="14" s="1"/>
  <c r="E718" i="14" s="1"/>
  <c r="E719" i="14" s="1"/>
  <c r="E720" i="14" s="1"/>
  <c r="E721" i="14" s="1"/>
  <c r="E722" i="14" s="1"/>
  <c r="E723" i="14" s="1"/>
  <c r="E724" i="14" s="1"/>
  <c r="E725" i="14" s="1"/>
  <c r="E726" i="14" s="1"/>
  <c r="E727" i="14" s="1"/>
  <c r="E728" i="14" s="1"/>
  <c r="E729" i="14" s="1"/>
  <c r="E730" i="14" s="1"/>
  <c r="E731" i="14" s="1"/>
  <c r="E732" i="14" s="1"/>
  <c r="E733" i="14" s="1"/>
  <c r="E734" i="14" s="1"/>
  <c r="E735" i="14" s="1"/>
  <c r="E736" i="14" s="1"/>
  <c r="E737" i="14" s="1"/>
  <c r="E738" i="14" s="1"/>
  <c r="E739" i="14" s="1"/>
  <c r="E740" i="14" s="1"/>
  <c r="E741" i="14" s="1"/>
  <c r="E742" i="14" s="1"/>
  <c r="E743" i="14" s="1"/>
  <c r="E744" i="14" s="1"/>
  <c r="E745" i="14" s="1"/>
  <c r="E746" i="14" s="1"/>
  <c r="E747" i="14" s="1"/>
  <c r="E748" i="14" s="1"/>
  <c r="E749" i="14" s="1"/>
  <c r="E750" i="14" s="1"/>
  <c r="E751" i="14" s="1"/>
  <c r="E752" i="14" s="1"/>
  <c r="E753" i="14" s="1"/>
  <c r="E754" i="14" s="1"/>
  <c r="E755" i="14" s="1"/>
  <c r="E756" i="14" s="1"/>
  <c r="E757" i="14" s="1"/>
  <c r="E758" i="14" s="1"/>
  <c r="E759" i="14" s="1"/>
  <c r="E760" i="14" s="1"/>
  <c r="E761" i="14" s="1"/>
  <c r="E762" i="14" s="1"/>
  <c r="E763" i="14" s="1"/>
  <c r="E764" i="14" s="1"/>
  <c r="E765" i="14" s="1"/>
  <c r="E766" i="14" s="1"/>
  <c r="E767" i="14" s="1"/>
  <c r="E768" i="14" s="1"/>
  <c r="E769" i="14" s="1"/>
  <c r="E770" i="14" s="1"/>
  <c r="E771" i="14" s="1"/>
  <c r="E772" i="14" s="1"/>
  <c r="E773" i="14" s="1"/>
  <c r="E774" i="14" s="1"/>
  <c r="E775" i="14" s="1"/>
  <c r="E776" i="14" s="1"/>
  <c r="E777" i="14" s="1"/>
  <c r="E778" i="14" s="1"/>
  <c r="E779" i="14" s="1"/>
  <c r="E780" i="14" s="1"/>
  <c r="E781" i="14" s="1"/>
  <c r="E782" i="14" s="1"/>
  <c r="E783" i="14" s="1"/>
  <c r="E784" i="14" s="1"/>
  <c r="E785" i="14" s="1"/>
  <c r="E786" i="14" s="1"/>
  <c r="E787" i="14" s="1"/>
  <c r="E788" i="14" s="1"/>
  <c r="E789" i="14" s="1"/>
  <c r="E790" i="14" s="1"/>
  <c r="E791" i="14" s="1"/>
  <c r="E792" i="14" s="1"/>
  <c r="E793" i="14" s="1"/>
  <c r="E794" i="14" s="1"/>
  <c r="E795" i="14" s="1"/>
  <c r="E796" i="14" s="1"/>
  <c r="E797" i="14" s="1"/>
  <c r="E798" i="14" s="1"/>
  <c r="E799" i="14" s="1"/>
  <c r="E800" i="14" s="1"/>
  <c r="E801" i="14" s="1"/>
  <c r="E802" i="14" s="1"/>
  <c r="E803" i="14" s="1"/>
  <c r="E804" i="14" s="1"/>
  <c r="E805" i="14" s="1"/>
  <c r="E806" i="14" s="1"/>
  <c r="E807" i="14" s="1"/>
  <c r="E808" i="14" s="1"/>
  <c r="E809" i="14" s="1"/>
  <c r="E810" i="14" s="1"/>
  <c r="E811" i="14" s="1"/>
  <c r="E812" i="14" s="1"/>
  <c r="E813" i="14" s="1"/>
  <c r="E814" i="14" s="1"/>
  <c r="E815" i="14" s="1"/>
  <c r="E816" i="14" s="1"/>
  <c r="E817" i="14" s="1"/>
  <c r="E818" i="14" s="1"/>
  <c r="E819" i="14" s="1"/>
  <c r="E820" i="14" s="1"/>
  <c r="E821" i="14" s="1"/>
  <c r="E822" i="14" s="1"/>
  <c r="E823" i="14" s="1"/>
  <c r="E824" i="14" s="1"/>
  <c r="E825" i="14" s="1"/>
  <c r="E826" i="14" s="1"/>
  <c r="E827" i="14" s="1"/>
  <c r="E828" i="14" s="1"/>
  <c r="E829" i="14" s="1"/>
  <c r="E830" i="14" s="1"/>
  <c r="E831" i="14" s="1"/>
  <c r="E832" i="14" s="1"/>
  <c r="E833" i="14" s="1"/>
  <c r="E834" i="14" s="1"/>
  <c r="E835" i="14" s="1"/>
  <c r="E836" i="14" s="1"/>
  <c r="E837" i="14" s="1"/>
  <c r="E838" i="14" s="1"/>
  <c r="E839" i="14" s="1"/>
  <c r="E840" i="14" s="1"/>
  <c r="E841" i="14" s="1"/>
  <c r="E842" i="14" s="1"/>
  <c r="E843" i="14" s="1"/>
  <c r="E844" i="14" s="1"/>
  <c r="E845" i="14" s="1"/>
  <c r="E846" i="14" s="1"/>
  <c r="E847" i="14" s="1"/>
  <c r="E848" i="14" s="1"/>
  <c r="E849" i="14" s="1"/>
  <c r="E850" i="14" s="1"/>
  <c r="E851" i="14" s="1"/>
  <c r="E852" i="14" s="1"/>
  <c r="E853" i="14" s="1"/>
  <c r="E854" i="14" s="1"/>
  <c r="E855" i="14" s="1"/>
  <c r="E856" i="14" s="1"/>
  <c r="E857" i="14" s="1"/>
  <c r="E858" i="14" s="1"/>
  <c r="E859" i="14" s="1"/>
  <c r="E860" i="14" s="1"/>
  <c r="E861" i="14" s="1"/>
  <c r="E862" i="14" s="1"/>
  <c r="E863" i="14" s="1"/>
  <c r="E864" i="14" s="1"/>
  <c r="E865" i="14" s="1"/>
  <c r="E866" i="14" s="1"/>
  <c r="E867" i="14" s="1"/>
  <c r="E868" i="14" s="1"/>
  <c r="E869" i="14" s="1"/>
  <c r="E870" i="14" s="1"/>
  <c r="E871" i="14" s="1"/>
  <c r="E872" i="14" s="1"/>
  <c r="E873" i="14" s="1"/>
  <c r="E874" i="14" s="1"/>
  <c r="E875" i="14" s="1"/>
  <c r="E876" i="14" s="1"/>
  <c r="E877" i="14" s="1"/>
  <c r="E878" i="14" s="1"/>
  <c r="E879" i="14" s="1"/>
  <c r="E880" i="14" s="1"/>
  <c r="E881" i="14" s="1"/>
  <c r="E882" i="14" s="1"/>
  <c r="E883" i="14" s="1"/>
  <c r="E884" i="14" s="1"/>
  <c r="E885" i="14" s="1"/>
  <c r="E886" i="14" s="1"/>
  <c r="E887" i="14" s="1"/>
  <c r="E888" i="14" s="1"/>
  <c r="E889" i="14" s="1"/>
  <c r="E890" i="14" s="1"/>
  <c r="E891" i="14" s="1"/>
  <c r="E892" i="14" s="1"/>
  <c r="E893" i="14" s="1"/>
  <c r="E894" i="14" s="1"/>
  <c r="E895" i="14" s="1"/>
  <c r="E896" i="14" s="1"/>
  <c r="E897" i="14" s="1"/>
  <c r="E898" i="14" s="1"/>
  <c r="E899" i="14" s="1"/>
  <c r="E900" i="14" s="1"/>
  <c r="E901" i="14" s="1"/>
  <c r="E902" i="14" s="1"/>
  <c r="E903" i="14" s="1"/>
  <c r="E904" i="14" s="1"/>
  <c r="E905" i="14" s="1"/>
  <c r="E906" i="14" s="1"/>
  <c r="E907" i="14" s="1"/>
  <c r="E908" i="14" s="1"/>
  <c r="E909" i="14" s="1"/>
  <c r="E910" i="14" s="1"/>
  <c r="E911" i="14" s="1"/>
  <c r="E912" i="14" s="1"/>
  <c r="E913" i="14" s="1"/>
  <c r="E914" i="14" s="1"/>
  <c r="E915" i="14" s="1"/>
  <c r="E916" i="14" s="1"/>
  <c r="E917" i="14" s="1"/>
  <c r="E918" i="14" s="1"/>
  <c r="E919" i="14" s="1"/>
  <c r="E920" i="14" s="1"/>
  <c r="E921" i="14" s="1"/>
  <c r="E922" i="14" s="1"/>
  <c r="E923" i="14" s="1"/>
  <c r="E924" i="14" s="1"/>
  <c r="E925" i="14" s="1"/>
  <c r="E926" i="14" s="1"/>
  <c r="E927" i="14" s="1"/>
  <c r="E928" i="14" s="1"/>
  <c r="E929" i="14" s="1"/>
  <c r="E930" i="14" s="1"/>
  <c r="E931" i="14" s="1"/>
  <c r="E932" i="14" s="1"/>
  <c r="E933" i="14" s="1"/>
  <c r="E934" i="14" s="1"/>
  <c r="E935" i="14" s="1"/>
  <c r="E936" i="14" s="1"/>
  <c r="E937" i="14" s="1"/>
  <c r="E938" i="14" s="1"/>
  <c r="E939" i="14" s="1"/>
  <c r="E940" i="14" s="1"/>
  <c r="E941" i="14" s="1"/>
  <c r="E942" i="14" s="1"/>
  <c r="E943" i="14" s="1"/>
  <c r="E944" i="14" s="1"/>
  <c r="E945" i="14" s="1"/>
  <c r="E946" i="14" s="1"/>
  <c r="E947" i="14" s="1"/>
  <c r="E948" i="14" s="1"/>
  <c r="E949" i="14" s="1"/>
  <c r="E950" i="14" s="1"/>
  <c r="E951" i="14" s="1"/>
  <c r="E952" i="14" s="1"/>
  <c r="E953" i="14" s="1"/>
  <c r="E954" i="14" s="1"/>
  <c r="E955" i="14" s="1"/>
  <c r="E956" i="14" s="1"/>
  <c r="E957" i="14" s="1"/>
  <c r="E958" i="14" s="1"/>
  <c r="E959" i="14" s="1"/>
  <c r="E960" i="14" s="1"/>
  <c r="E961" i="14" s="1"/>
  <c r="E962" i="14" s="1"/>
  <c r="E963" i="14" s="1"/>
  <c r="E964" i="14" s="1"/>
  <c r="E965" i="14" s="1"/>
  <c r="E966" i="14" s="1"/>
  <c r="E967" i="14" s="1"/>
  <c r="E968" i="14" s="1"/>
  <c r="E969" i="14" s="1"/>
  <c r="E970" i="14" s="1"/>
  <c r="E971" i="14" s="1"/>
  <c r="E972" i="14" s="1"/>
  <c r="E973" i="14" s="1"/>
  <c r="E974" i="14" s="1"/>
  <c r="E975" i="14" s="1"/>
  <c r="E976" i="14" s="1"/>
  <c r="E977" i="14" s="1"/>
  <c r="E978" i="14" s="1"/>
  <c r="E979" i="14" s="1"/>
  <c r="E980" i="14" s="1"/>
  <c r="E981" i="14" s="1"/>
  <c r="E982" i="14" s="1"/>
  <c r="E983" i="14" s="1"/>
  <c r="E984" i="14" s="1"/>
  <c r="E985" i="14" s="1"/>
  <c r="E986" i="14" s="1"/>
  <c r="E987" i="14" s="1"/>
  <c r="E988" i="14" s="1"/>
  <c r="E989" i="14" s="1"/>
  <c r="E990" i="14" s="1"/>
  <c r="E991" i="14" s="1"/>
  <c r="E992" i="14" s="1"/>
  <c r="E993" i="14" s="1"/>
  <c r="E994" i="14" s="1"/>
  <c r="E995" i="14" s="1"/>
  <c r="E996" i="14" s="1"/>
  <c r="E997" i="14" s="1"/>
  <c r="E998" i="14" s="1"/>
  <c r="E999" i="14" s="1"/>
  <c r="E1000" i="14" s="1"/>
  <c r="E1001" i="14" s="1"/>
  <c r="E1002" i="14" s="1"/>
  <c r="E1003" i="14" s="1"/>
  <c r="E1004" i="14" s="1"/>
  <c r="E1005" i="14" s="1"/>
  <c r="E1006" i="14" s="1"/>
  <c r="E1007" i="14" s="1"/>
  <c r="E1008" i="14" s="1"/>
  <c r="E1009" i="14" s="1"/>
  <c r="E1010" i="14" s="1"/>
  <c r="E1011" i="14" s="1"/>
  <c r="E1012" i="14" s="1"/>
  <c r="E1013" i="14" s="1"/>
  <c r="E1014" i="14" s="1"/>
  <c r="E1015" i="14" s="1"/>
  <c r="E1016" i="14" s="1"/>
  <c r="E1017" i="14" s="1"/>
  <c r="E1018" i="14" s="1"/>
  <c r="E1019" i="14" s="1"/>
  <c r="E1020" i="14" s="1"/>
  <c r="E1021" i="14" s="1"/>
  <c r="E1022" i="14" s="1"/>
  <c r="E1023" i="14" s="1"/>
  <c r="E1024" i="14" s="1"/>
  <c r="E1025" i="14" s="1"/>
  <c r="E1026" i="14" s="1"/>
  <c r="E1027" i="14" s="1"/>
  <c r="E1028" i="14" s="1"/>
  <c r="E1029" i="14" s="1"/>
  <c r="E1030" i="14" s="1"/>
  <c r="E1031" i="14" s="1"/>
  <c r="E1032" i="14" s="1"/>
  <c r="E1033" i="14" s="1"/>
  <c r="E1034" i="14" s="1"/>
  <c r="E1035" i="14" s="1"/>
  <c r="E1036" i="14" s="1"/>
  <c r="E1037" i="14" s="1"/>
  <c r="E1038" i="14" s="1"/>
  <c r="E1039" i="14" s="1"/>
  <c r="E1040" i="14" s="1"/>
  <c r="E1041" i="14" s="1"/>
  <c r="E1042" i="14" s="1"/>
  <c r="E1043" i="14" s="1"/>
  <c r="E1044" i="14" s="1"/>
  <c r="E1045" i="14" s="1"/>
  <c r="E1046" i="14" s="1"/>
  <c r="E1047" i="14" s="1"/>
  <c r="E1048" i="14" s="1"/>
  <c r="E1049" i="14" s="1"/>
  <c r="E1050" i="14" s="1"/>
  <c r="E1051" i="14" s="1"/>
  <c r="E1052" i="14" s="1"/>
  <c r="E1053" i="14" s="1"/>
  <c r="E1054" i="14" s="1"/>
  <c r="E1055" i="14" s="1"/>
  <c r="E1056" i="14" s="1"/>
  <c r="E1057" i="14" s="1"/>
  <c r="E1058" i="14" s="1"/>
  <c r="E1059" i="14" s="1"/>
  <c r="E1060" i="14" s="1"/>
  <c r="E1061" i="14" s="1"/>
  <c r="E1062" i="14" s="1"/>
  <c r="E1063" i="14" s="1"/>
  <c r="E1064" i="14" s="1"/>
  <c r="E1065" i="14" s="1"/>
  <c r="E1066" i="14" s="1"/>
  <c r="E1067" i="14" s="1"/>
  <c r="E1068" i="14" s="1"/>
  <c r="E1069" i="14" s="1"/>
  <c r="E1070" i="14" s="1"/>
  <c r="E1071" i="14" s="1"/>
  <c r="E1072" i="14" s="1"/>
  <c r="E1073" i="14" s="1"/>
  <c r="E1074" i="14" s="1"/>
  <c r="E1075" i="14" s="1"/>
  <c r="E1076" i="14" s="1"/>
  <c r="E1077" i="14" s="1"/>
  <c r="E1078" i="14" s="1"/>
  <c r="E1079" i="14" s="1"/>
  <c r="E1080" i="14" s="1"/>
  <c r="E1081" i="14" s="1"/>
  <c r="E1082" i="14" s="1"/>
  <c r="E1083" i="14" s="1"/>
  <c r="E1084" i="14" s="1"/>
  <c r="E1085" i="14" s="1"/>
  <c r="E1086" i="14" s="1"/>
  <c r="E1087" i="14" s="1"/>
  <c r="E1088" i="14" s="1"/>
  <c r="E1089" i="14" s="1"/>
  <c r="E1090" i="14" s="1"/>
  <c r="E1091" i="14" s="1"/>
  <c r="E1092" i="14" s="1"/>
  <c r="E1093" i="14" s="1"/>
  <c r="E1094" i="14" s="1"/>
  <c r="E1095" i="14" s="1"/>
  <c r="E1096" i="14" s="1"/>
  <c r="E1097" i="14" s="1"/>
  <c r="E1098" i="14" s="1"/>
  <c r="E1099" i="14" s="1"/>
  <c r="E1100" i="14" s="1"/>
  <c r="E1101" i="14" s="1"/>
  <c r="E1102" i="14" s="1"/>
  <c r="E1103" i="14" s="1"/>
  <c r="E1104" i="14" s="1"/>
  <c r="E1105" i="14" s="1"/>
  <c r="E1106" i="14" s="1"/>
  <c r="E1107" i="14" s="1"/>
  <c r="E1108" i="14" s="1"/>
  <c r="E1109" i="14" s="1"/>
  <c r="E1110" i="14" s="1"/>
  <c r="E1111" i="14" s="1"/>
  <c r="E1112" i="14" s="1"/>
  <c r="E1113" i="14" s="1"/>
  <c r="E1114" i="14" s="1"/>
  <c r="E1115" i="14" s="1"/>
  <c r="E1116" i="14" s="1"/>
  <c r="E1117" i="14" s="1"/>
  <c r="E1118" i="14" s="1"/>
  <c r="E1119" i="14" s="1"/>
  <c r="E1120" i="14" s="1"/>
  <c r="E1121" i="14" s="1"/>
  <c r="E1122" i="14" s="1"/>
  <c r="E1123" i="14" s="1"/>
  <c r="E1124" i="14" s="1"/>
  <c r="E1125" i="14" s="1"/>
  <c r="E1126" i="14" s="1"/>
  <c r="E1127" i="14" s="1"/>
  <c r="E1128" i="14" s="1"/>
  <c r="E1129" i="14" s="1"/>
  <c r="E1130" i="14" s="1"/>
  <c r="E1131" i="14" s="1"/>
  <c r="E1132" i="14" s="1"/>
  <c r="E1133" i="14" s="1"/>
  <c r="E1134" i="14" s="1"/>
  <c r="E1135" i="14" s="1"/>
  <c r="E1136" i="14" s="1"/>
  <c r="E1137" i="14" s="1"/>
  <c r="E1138" i="14" s="1"/>
  <c r="E1139" i="14" s="1"/>
  <c r="E1140" i="14" s="1"/>
  <c r="E1141" i="14" s="1"/>
  <c r="E1142" i="14" s="1"/>
  <c r="E1143" i="14" s="1"/>
  <c r="E1144" i="14" s="1"/>
  <c r="E1145" i="14" s="1"/>
  <c r="E1146" i="14" s="1"/>
  <c r="E1147" i="14" s="1"/>
  <c r="E1148" i="14" s="1"/>
  <c r="E1149" i="14" s="1"/>
  <c r="E1150" i="14" s="1"/>
  <c r="E1151" i="14" s="1"/>
  <c r="E1152" i="14" s="1"/>
  <c r="E1153" i="14" s="1"/>
  <c r="E1154" i="14" s="1"/>
  <c r="E1155" i="14" s="1"/>
  <c r="E1156" i="14" s="1"/>
  <c r="E1157" i="14" s="1"/>
  <c r="E1158" i="14" s="1"/>
  <c r="E1159" i="14" s="1"/>
  <c r="E1160" i="14" s="1"/>
  <c r="E1161" i="14" s="1"/>
  <c r="E1162" i="14" s="1"/>
  <c r="E1163" i="14" s="1"/>
  <c r="E1164" i="14" s="1"/>
  <c r="E1165" i="14" s="1"/>
  <c r="E1166" i="14" s="1"/>
  <c r="E1167" i="14" s="1"/>
  <c r="E1168" i="14" s="1"/>
  <c r="E1169" i="14" s="1"/>
  <c r="E1170" i="14" s="1"/>
  <c r="E1171" i="14" s="1"/>
  <c r="E1172" i="14" s="1"/>
  <c r="E1173" i="14" s="1"/>
  <c r="E1174" i="14" s="1"/>
  <c r="E1175" i="14" s="1"/>
  <c r="E1176" i="14" s="1"/>
  <c r="E1177" i="14" s="1"/>
  <c r="E1178" i="14" s="1"/>
  <c r="E1179" i="14" s="1"/>
  <c r="E1180" i="14" s="1"/>
  <c r="E1181" i="14" s="1"/>
  <c r="E1182" i="14" s="1"/>
  <c r="E1183" i="14" s="1"/>
  <c r="E1184" i="14" s="1"/>
  <c r="E1185" i="14" s="1"/>
  <c r="E1186" i="14" s="1"/>
  <c r="E1187" i="14" s="1"/>
  <c r="E1188" i="14" s="1"/>
  <c r="E1189" i="14" s="1"/>
  <c r="E1190" i="14" s="1"/>
  <c r="E1191" i="14" s="1"/>
  <c r="E1192" i="14" s="1"/>
  <c r="E1193" i="14" s="1"/>
  <c r="E1194" i="14" s="1"/>
  <c r="E1195" i="14" s="1"/>
  <c r="E1196" i="14" s="1"/>
  <c r="E1197" i="14" s="1"/>
  <c r="E1198" i="14" s="1"/>
  <c r="E1199" i="14" s="1"/>
  <c r="E1200" i="14" s="1"/>
  <c r="E1201" i="14" s="1"/>
  <c r="E1202" i="14" s="1"/>
  <c r="E1203" i="14" s="1"/>
  <c r="E1204" i="14" s="1"/>
  <c r="E1205" i="14" s="1"/>
  <c r="E1206" i="14" s="1"/>
  <c r="E1207" i="14" s="1"/>
  <c r="E1208" i="14" s="1"/>
  <c r="E1209" i="14" s="1"/>
  <c r="E1210" i="14" s="1"/>
  <c r="E1211" i="14" s="1"/>
  <c r="E1212" i="14" s="1"/>
  <c r="E1213" i="14" s="1"/>
  <c r="E1214" i="14" s="1"/>
  <c r="E1215" i="14" s="1"/>
  <c r="E1216" i="14" s="1"/>
  <c r="E1217" i="14" s="1"/>
  <c r="E1218" i="14" s="1"/>
  <c r="E1219" i="14" s="1"/>
  <c r="E1220" i="14" s="1"/>
  <c r="E1221" i="14" s="1"/>
  <c r="E1222" i="14" s="1"/>
  <c r="E1223" i="14" s="1"/>
  <c r="E1224" i="14" s="1"/>
  <c r="E1225" i="14" s="1"/>
  <c r="E1226" i="14" s="1"/>
  <c r="E1227" i="14" s="1"/>
  <c r="E1228" i="14" s="1"/>
  <c r="E1229" i="14" s="1"/>
  <c r="E1230" i="14" s="1"/>
  <c r="E1231" i="14" s="1"/>
  <c r="E1232" i="14" s="1"/>
  <c r="E1233" i="14" s="1"/>
  <c r="E1234" i="14" s="1"/>
  <c r="E1235" i="14" s="1"/>
  <c r="E1236" i="14" s="1"/>
  <c r="E1237" i="14" s="1"/>
  <c r="E1238" i="14" s="1"/>
  <c r="E1239" i="14" s="1"/>
  <c r="E1240" i="14" s="1"/>
  <c r="E1241" i="14" s="1"/>
  <c r="E1242" i="14" s="1"/>
  <c r="E1243" i="14" s="1"/>
  <c r="E1244" i="14" s="1"/>
  <c r="E1245" i="14" s="1"/>
  <c r="E1246" i="14" s="1"/>
  <c r="E1247" i="14" s="1"/>
  <c r="E1248" i="14" s="1"/>
  <c r="E1249" i="14" s="1"/>
  <c r="E1250" i="14" s="1"/>
  <c r="E1251" i="14" s="1"/>
  <c r="E1252" i="14" s="1"/>
  <c r="E1253" i="14" s="1"/>
  <c r="E1254" i="14" s="1"/>
  <c r="E1255" i="14" s="1"/>
  <c r="E1256" i="14" s="1"/>
  <c r="E1257" i="14" s="1"/>
  <c r="E1258" i="14" s="1"/>
  <c r="E1259" i="14" s="1"/>
  <c r="E1260" i="14" s="1"/>
  <c r="E1261" i="14" s="1"/>
  <c r="E1262" i="14" s="1"/>
  <c r="E1263" i="14" s="1"/>
  <c r="E1264" i="14" s="1"/>
  <c r="E1265" i="14" s="1"/>
  <c r="E1266" i="14" s="1"/>
  <c r="E1267" i="14" s="1"/>
  <c r="E1268" i="14" s="1"/>
  <c r="E1269" i="14" s="1"/>
  <c r="E1270" i="14" s="1"/>
  <c r="E1271" i="14" s="1"/>
  <c r="E1272" i="14" s="1"/>
  <c r="E1273" i="14" s="1"/>
  <c r="E1274" i="14" s="1"/>
  <c r="E1275" i="14" s="1"/>
  <c r="E1276" i="14" s="1"/>
  <c r="E1277" i="14" s="1"/>
  <c r="E1278" i="14" s="1"/>
  <c r="E1279" i="14" s="1"/>
  <c r="E1280" i="14" s="1"/>
  <c r="E1281" i="14" s="1"/>
  <c r="E1282" i="14" s="1"/>
  <c r="E1283" i="14" s="1"/>
  <c r="E1284" i="14" s="1"/>
  <c r="E1285" i="14" s="1"/>
  <c r="E1286" i="14" s="1"/>
  <c r="E1287" i="14" s="1"/>
  <c r="E1288" i="14" s="1"/>
  <c r="E1289" i="14" s="1"/>
  <c r="E1290" i="14" s="1"/>
  <c r="E1291" i="14" s="1"/>
  <c r="E1292" i="14" s="1"/>
  <c r="E1293" i="14" s="1"/>
  <c r="E1294" i="14" s="1"/>
  <c r="E1295" i="14" s="1"/>
  <c r="E1296" i="14" s="1"/>
  <c r="E1297" i="14" s="1"/>
  <c r="E1298" i="14" s="1"/>
  <c r="E1299" i="14" s="1"/>
  <c r="E1300" i="14" s="1"/>
  <c r="E1301" i="14" s="1"/>
  <c r="E1302" i="14" s="1"/>
  <c r="E1303" i="14" s="1"/>
  <c r="E1304" i="14" s="1"/>
  <c r="E1305" i="14" s="1"/>
  <c r="E1306" i="14" s="1"/>
  <c r="E1307" i="14" s="1"/>
  <c r="E1308" i="14" s="1"/>
  <c r="E1309" i="14" s="1"/>
  <c r="E1310" i="14" s="1"/>
  <c r="E1311" i="14" s="1"/>
  <c r="E1312" i="14" s="1"/>
  <c r="E1313" i="14" s="1"/>
  <c r="E1314" i="14" s="1"/>
  <c r="E1315" i="14" s="1"/>
  <c r="E1316" i="14" s="1"/>
  <c r="E1317" i="14" s="1"/>
  <c r="E1318" i="14" s="1"/>
  <c r="E1319" i="14" s="1"/>
  <c r="E1320" i="14" s="1"/>
  <c r="E1321" i="14" s="1"/>
  <c r="E1322" i="14" s="1"/>
  <c r="E1323" i="14" s="1"/>
  <c r="E1324" i="14" s="1"/>
  <c r="E1325" i="14" s="1"/>
  <c r="E1326" i="14" s="1"/>
  <c r="E1327" i="14" s="1"/>
  <c r="E1328" i="14" s="1"/>
  <c r="E1329" i="14" s="1"/>
  <c r="E1330" i="14" s="1"/>
  <c r="E1331" i="14" s="1"/>
  <c r="E1332" i="14" s="1"/>
  <c r="E1333" i="14" s="1"/>
  <c r="E1334" i="14" s="1"/>
  <c r="E1335" i="14" s="1"/>
  <c r="E1336" i="14" s="1"/>
  <c r="E1337" i="14" s="1"/>
  <c r="E1338" i="14" s="1"/>
  <c r="E1339" i="14" s="1"/>
  <c r="E1340" i="14" s="1"/>
  <c r="E1341" i="14" s="1"/>
  <c r="E1342" i="14" s="1"/>
  <c r="E1343" i="14" s="1"/>
  <c r="E1344" i="14" s="1"/>
  <c r="E1345" i="14" s="1"/>
  <c r="E1346" i="14" s="1"/>
  <c r="E1347" i="14" s="1"/>
  <c r="E1348" i="14" s="1"/>
  <c r="E1349" i="14" s="1"/>
  <c r="E1350" i="14" s="1"/>
  <c r="E1351" i="14" s="1"/>
  <c r="E1352" i="14" s="1"/>
  <c r="E1353" i="14" s="1"/>
  <c r="E1354" i="14" s="1"/>
  <c r="E1355" i="14" s="1"/>
  <c r="E1356" i="14" s="1"/>
  <c r="E1357" i="14" s="1"/>
  <c r="E1358" i="14" s="1"/>
  <c r="E1359" i="14" s="1"/>
  <c r="E1360" i="14" s="1"/>
  <c r="E1361" i="14" s="1"/>
  <c r="E1362" i="14" s="1"/>
  <c r="E1363" i="14" s="1"/>
  <c r="E1364" i="14" s="1"/>
  <c r="E1365" i="14" s="1"/>
  <c r="E1366" i="14" s="1"/>
  <c r="E1367" i="14" s="1"/>
  <c r="E1368" i="14" s="1"/>
  <c r="E1369" i="14" s="1"/>
  <c r="E1370" i="14" s="1"/>
  <c r="E1371" i="14" s="1"/>
  <c r="E1372" i="14" s="1"/>
  <c r="E1373" i="14" s="1"/>
  <c r="E1374" i="14" s="1"/>
  <c r="E1375" i="14" s="1"/>
  <c r="E1376" i="14" s="1"/>
  <c r="E1377" i="14" s="1"/>
  <c r="E1378" i="14" s="1"/>
  <c r="E1379" i="14" s="1"/>
  <c r="E1380" i="14" s="1"/>
  <c r="E1381" i="14" s="1"/>
  <c r="E1382" i="14" s="1"/>
  <c r="E1383" i="14" s="1"/>
  <c r="E1384" i="14" s="1"/>
  <c r="E1385" i="14" s="1"/>
  <c r="E1386" i="14" s="1"/>
  <c r="E1387" i="14" s="1"/>
  <c r="E1388" i="14" s="1"/>
  <c r="E1389" i="14" s="1"/>
  <c r="E1390" i="14" s="1"/>
  <c r="E1391" i="14" s="1"/>
  <c r="E1392" i="14" s="1"/>
  <c r="E1393" i="14" s="1"/>
  <c r="E1394" i="14" s="1"/>
  <c r="E1395" i="14" s="1"/>
  <c r="E1396" i="14" s="1"/>
  <c r="E1397" i="14" s="1"/>
  <c r="E1398" i="14" s="1"/>
  <c r="E1399" i="14" s="1"/>
  <c r="E1400" i="14" s="1"/>
  <c r="E1401" i="14" s="1"/>
  <c r="E1402" i="14" s="1"/>
  <c r="E1403" i="14" s="1"/>
  <c r="E1404" i="14" s="1"/>
  <c r="E1405" i="14" s="1"/>
  <c r="E1406" i="14" s="1"/>
  <c r="E1407" i="14" s="1"/>
  <c r="E1408" i="14" s="1"/>
  <c r="E1409" i="14" s="1"/>
  <c r="E1410" i="14" s="1"/>
  <c r="E1411" i="14" s="1"/>
  <c r="E1412" i="14" s="1"/>
  <c r="E1413" i="14" s="1"/>
  <c r="E1414" i="14" s="1"/>
  <c r="E4" i="14" s="1"/>
</calcChain>
</file>

<file path=xl/sharedStrings.xml><?xml version="1.0" encoding="utf-8"?>
<sst xmlns="http://schemas.openxmlformats.org/spreadsheetml/2006/main" count="819" uniqueCount="370">
  <si>
    <t xml:space="preserve"> DISTRIBUIDORA DE CARNES MARIA CRISTINA S.A. DE C.V. </t>
  </si>
  <si>
    <t>CUENTA: 055003730017</t>
  </si>
  <si>
    <t>CLABE: 058580550037300177</t>
  </si>
  <si>
    <t>Saldo Inicial</t>
  </si>
  <si>
    <t xml:space="preserve">RFC: DCM02072238A   </t>
  </si>
  <si>
    <t>Saldo Final</t>
  </si>
  <si>
    <t>Fecha</t>
  </si>
  <si>
    <t>Descripción / Referencia</t>
  </si>
  <si>
    <t>Cargos</t>
  </si>
  <si>
    <t>Abonos</t>
  </si>
  <si>
    <t>Saldo</t>
  </si>
  <si>
    <t>PAGO DOBLE</t>
  </si>
  <si>
    <t>SUMA DE SALDOS</t>
  </si>
  <si>
    <t>SALDO CONTABILIDAD</t>
  </si>
  <si>
    <t>DIFERENCIA</t>
  </si>
  <si>
    <t>CUENTA: 055003730157</t>
  </si>
  <si>
    <t>CLABE: 058580550037301574</t>
  </si>
  <si>
    <t>CUENTA: 038900320016</t>
  </si>
  <si>
    <t>CLABE: 058580389003200168</t>
  </si>
  <si>
    <t>ABONO VENTAS TDD_8996711</t>
  </si>
  <si>
    <t>ABONO VENTAS TDC_8996711</t>
  </si>
  <si>
    <t>MARZO</t>
  </si>
  <si>
    <t>ABRIL</t>
  </si>
  <si>
    <t>SALDO PENDIENTE AL CIERRE DE MARZO</t>
  </si>
  <si>
    <t>FECHA</t>
  </si>
  <si>
    <t>PROVEEDOR</t>
  </si>
  <si>
    <t xml:space="preserve">facturas marzo </t>
  </si>
  <si>
    <t>SALDO  A DEUDORES AL CIERRE DE MARZO</t>
  </si>
  <si>
    <t>FACTURADO EN ABRIL + cancelacion de bcs y deud</t>
  </si>
  <si>
    <t>DEVOLUCIONCANCELACION directa DE DEUDORES</t>
  </si>
  <si>
    <t>SALDO PENDIENTE</t>
  </si>
  <si>
    <t>OQYJ531 SPEI. BBVA MEXICO. 012580001203176756. COMASA MONTERREY SA DE CV. 058-28/03/2025/28-055OQYJ531. 1111111. F1618 1617 1616 1615 1614 1613 1623 1624_SPEI</t>
  </si>
  <si>
    <t>LISTO</t>
  </si>
  <si>
    <t>OQYJ495 SPEI. AFIRME. 062580001014089147. BOTANAS BOGOS SA DE CV. 058-28/03/2025/28-055OQYJ495. 1111111. F25119_SPEI</t>
  </si>
  <si>
    <t>OQYJ562 SPEI. BANORTE. 072580000595462520. DISTRIBUIDORA DE VERDURAS. S.A. DE C.V.. 058-28/03/2025/28-055OQYJ562. 1111111. F81136 81543_SPEI</t>
  </si>
  <si>
    <t>OQYJ598 SPEI. BANORTE. 072580002399245802. JOSE SATURNINO TRISTAN SNACHEZ. 058-28/03/2025/28-055OQYJ598. 1111111. F4123_SPEI</t>
  </si>
  <si>
    <t>OQYJ570 SPEI. BBVA MEXICO. 012150001416768064. INTERCARNES SA DE CV. 058-28/03/2025/28-055OQYJ570. 1111111. F129531_SPEI</t>
  </si>
  <si>
    <t>OQYJ504 SPEI. BANORTE. 072580002474993008. BURGY ALIMENTOS S DE RL DE CV. 058-28/03/2025/28-055OQYJ504. 1111111. F20793_SPEI</t>
  </si>
  <si>
    <t>OQYJ508 SPEI. BANORTE. 072580004257494748. CEDICARNES FOODS. SA DE CV. 058-28/03/2025/28-055OQYJ508. 1111111. F73477_SPEI</t>
  </si>
  <si>
    <t>OQYJ565 SPEI. HSBC. 021580040589776466. GLORIA GONZALEZ RAMIREZ. 058-28/03/2025/28-055OQYJ565. 1111111. F4163_SPEI</t>
  </si>
  <si>
    <t>OQYJ622 SPEI. HSBC. 021580040129561400. NACIONAL DE ALIMENTOS Y HELADOS SA DE CV. 058-28/03/2025/28-055OQYJ622. 1111111. F301429_SPEI</t>
  </si>
  <si>
    <t>OQYJ670 SPEI. HSBC. 021580040187453806. TORCAM PAPELERA. 058-28/03/2025/28-055OQYJ670. 1111111. F92066_SPEI</t>
  </si>
  <si>
    <t>OQYJ637 SPEI. BANORTE. 072580001000737930. POLLOS POPULAR SA DE CV. 058-28/03/2025/28-055OQYJ637. 1111111. F104244 104285 104320_SPEI</t>
  </si>
  <si>
    <t>OQYJ626 SPEI. BBVA MEXICO. 012535001476871684. OMEX ALIMENTARIA SA DE CV. 058-28/03/2025/28-055OQYJ626. 1111111. F72457_SPEI</t>
  </si>
  <si>
    <t>OQYJ663 SPEI. BANORTE. 072580001580760715. SISSA. 058-28/03/2025/28-055OQYJ663. 1111111. F1024828 1023492 1024087_SPEI</t>
  </si>
  <si>
    <t>OQYJ630 SPEI. BAJIO. 030580845235102020. OPERADORA INTERNACIONAL JH SA DE CV. 058-28/03/2025/28-055OQYJ630. 1111111. F8091_SPEI</t>
  </si>
  <si>
    <t>TOTAL SALDO PENDIENTE DE REGISTRAR EN MARZO</t>
  </si>
  <si>
    <t>ENVIO A TATIS</t>
  </si>
  <si>
    <t>SALDO A FAVOR AL 15/04/2025</t>
  </si>
  <si>
    <t>APLICADO AL 01/05</t>
  </si>
  <si>
    <t>SALDADO</t>
  </si>
  <si>
    <t>Cargos (EGRESOS)</t>
  </si>
  <si>
    <t>Abonos (DEPOSITOS)</t>
  </si>
  <si>
    <t>lo que está en negritas ya se capturó</t>
  </si>
  <si>
    <t>corresponde a otro año</t>
  </si>
  <si>
    <t>dividido en 2 a mas registros</t>
  </si>
  <si>
    <t>VENTA DIARIA 04/09/2025</t>
  </si>
  <si>
    <t>DEVOLUCION DE COMISIONES BANCARIAS</t>
  </si>
  <si>
    <t>DEVOLUCION DE VENTA DIARIA</t>
  </si>
  <si>
    <t>COMISIONES BANCARIAS 10/09/2025</t>
  </si>
  <si>
    <t>AplicaciÃ³n de Tasas de Descuento de dÃ©bito ; miscelÃ¡neas_8996711</t>
  </si>
  <si>
    <t>IVA AplicaciÃ³n de Tasas de Descuento de dÃ©bito ; miscelÃ¡neas_8996711</t>
  </si>
  <si>
    <t>NÃ“MINA - PAGO DE NÃ“MINA_055003730017</t>
  </si>
  <si>
    <t xml:space="preserve">FALTA SALDO EN FACTURA </t>
  </si>
  <si>
    <t>AplicaciÃ³n de Tasas de Descuento de crÃ©dito; miscelÃ¡neas_8996711</t>
  </si>
  <si>
    <t>IVA AplicaciÃ³n de Tasas de Descuento de crÃ©dito; miscelÃ¡neas_8996711</t>
  </si>
  <si>
    <t>F E B R E R O  2 0 2 6</t>
  </si>
  <si>
    <t>(NB) Recepcion de cuenta: 005637150016. FACTURA 1617_FACTURA 1617</t>
  </si>
  <si>
    <t>AplicaciÃ³n de Tasas de Descuento de dÃ©bito; internacional - miscelÃ¡neas_8996711</t>
  </si>
  <si>
    <t>IVA AplicaciÃ³n de Tasas de Descuento de dÃ©bito; internacional - miscelÃ¡neas_8996711</t>
  </si>
  <si>
    <t>CCO 8605231N4 29/01/2026 OXXO EL MILAGRO_4347983363118523-570770</t>
  </si>
  <si>
    <t>ESN 030826QL3 30/01/2026 STEREN ESN_4347983363118523-740460</t>
  </si>
  <si>
    <t>ESN 030826QL3 30/01/2026 STEREN ESN_4347983363118523-740637</t>
  </si>
  <si>
    <t>(NB) Recepcion de cuenta: 055003730017. Transferencia de DISTRIBUIDORA DE CARNES_Transferencia de DISTRIBUIDORA DE C</t>
  </si>
  <si>
    <t>DepÃ³sito en efectivo_ZJWej2f4nX</t>
  </si>
  <si>
    <t>DepÃ³sito en efectivo_ZJWelyZtGd</t>
  </si>
  <si>
    <t>(NB) Recepcion de cuenta: 005637150016. FACTURA 1618_FACTURA 1618</t>
  </si>
  <si>
    <t>DepÃ³sito en efectivo_ZJWgiy1oiW</t>
  </si>
  <si>
    <t>DepÃ³sito en efectivo_ZJWgiy80jr</t>
  </si>
  <si>
    <t>(BE) Traspaso a cuenta: 058180000150703446. F15520_058180000150703446</t>
  </si>
  <si>
    <t>VUUX178 SPEI. BBVA MEXICO. 012580001697892196. BRENDA GUADALUPE MONTELONGO CONCHA. 058-03/02/2026/03-055VUUX178. 1111111. F31394 31398_SPEI</t>
  </si>
  <si>
    <t>VUUX104 SPEI. BBVA MEXICO. 012580004823222184. JOSE ARTURO MEDERES GARZA. 058-03/02/2026/03-055VUUX104. 1111111. Fd3ba_SPEI</t>
  </si>
  <si>
    <t>VUUX137 SPEI. BBVA MEXICO. 012914002012175348. BIMBO SA DE CV. 058-03/02/2026/03-055VUUX137. 1111111. D2487000071628500009_SPEI</t>
  </si>
  <si>
    <t>VUUX101 SPEI. BANORTE. 072601008906136232. CANALES DE PUERCO ALANIS. 058-03/02/2026/03-055VUUX101. 1111111. F58353_SPEI</t>
  </si>
  <si>
    <t>VUUX180 SPEI. BANORTE. 072580011269577426. CANLINERS GROUP SA DE CV. 058-03/02/2026/03-055VUUX180. 1111111. F10895_SPEI</t>
  </si>
  <si>
    <t>VUUX115 SPEI. AFIRME. 062580001071252726. MARCO ANTONIO TAMEZ CERVANTES. 058-03/02/2026/03-055VUUX115. 1111111. F16529_SPEI</t>
  </si>
  <si>
    <t>VUUX131 SPEI. BBVA MEXICO. 012914002012175348. BIMBO SA DE CV. 058-03/02/2026/03-055VUUX131. 1111111. D2487000071628500009_SPEI</t>
  </si>
  <si>
    <t>VUUX146 SPEI. BBVA MEXICO. 012914002012175348. BIMBO SA DE CV. 058-03/02/2026/03-055VUUX146. 1111111. D2487000071628500009_SPEI</t>
  </si>
  <si>
    <t>VUUX167 SPEI. SANTANDER. 014580655024856654. DESARROLLO DE ENGORDAS ESTABULADAS. SA D. 058-03/02/2026/03-055VUUX167. 1111111. F303385_SPEI</t>
  </si>
  <si>
    <t>VUUX185 SPEI. SANTANDER. 014580606261632101. ANTONIO EDUARDO QUIRINO SIFUENTES. 058-03/02/2026/03-055VUUX185. 1111111. FF86DE_SPEI</t>
  </si>
  <si>
    <t>VUUX134 SPEI. BBVA MEXICO. 012914002012175348. BIMBO SA DE CV. 058-03/02/2026/03-055VUUX134. 1111111. D2487000071628500009_SPEI</t>
  </si>
  <si>
    <t>VUUX125 SPEI. BANAMEX. 002580433000030453. PRODUCTOS TOSTI GAR SA DE CV. 058-03/02/2026/03-055VUUX125. 1111111. F324693_SPEI</t>
  </si>
  <si>
    <t>VUUX170 SPEI. HSBC. 021180550300038985. BEBIDAS PURIFICADAS S DE RL DE CV. 058-03/02/2026/03-055VUUX170. 1111111. 5077009958417_SPEI</t>
  </si>
  <si>
    <t>VUUX130 SPEI. BBVA MEXICO. 012914002012175348. BIMBO SA DE CV. 058-03/02/2026/03-055VUUX130. 1111111. D2487000071628500009_SPEI</t>
  </si>
  <si>
    <t>VUUX132 SPEI. BBVA MEXICO. 012914002012175348. BIMBO SA DE CV. 058-03/02/2026/03-055VUUX132. 1111111. D2487000071628500009_SPEI</t>
  </si>
  <si>
    <t>VUUX127 SPEI. BANORTE. 072580008827677726. SIGMA ALIMENTOS COMERCIAL SA DE CV. 058-03/02/2026/03-055VUUX127. 1111111. F8560358821 8560358822 8560358820_SPEI</t>
  </si>
  <si>
    <t>VUUX182 SPEI. HSBC. 021580040440327462. ANGEL MARIO GARZA SADA. 058-03/02/2026/03-055VUUX182. 1111111. F0031257_SPEI</t>
  </si>
  <si>
    <t>VUUX120 SPEI. BAJIO. 030580845235102020. OPERADORA INTERNACIONAL JH SA DE CV. 058-03/02/2026/03-055VUUX120. 1111111. F9132_SPEI</t>
  </si>
  <si>
    <t>(BE) Traspaso a cuenta: 038944120014. F22008 21963 22019_038944120014</t>
  </si>
  <si>
    <t>(BE) Traspaso a cuenta: 058580550037301574. RFC:DCM02072238A. IVA:0.00. Transferencia de DISTRIBUIDORA DE CARNES_(BE) Traspaso</t>
  </si>
  <si>
    <t>(BE) Traspaso a cuenta: 058580448844700111. RFC:SAZA910704LR6. IVA:0.00. f279_(BE) Traspaso</t>
  </si>
  <si>
    <t>AplicaciÃ³n de Tasas de Descuento de crÃ©dito; internacional - miscelÃ¡neas_8996711</t>
  </si>
  <si>
    <t>IVA AplicaciÃ³n de Tasas de Descuento de crÃ©dito; internacional - miscelÃ¡neas_8996711</t>
  </si>
  <si>
    <t xml:space="preserve"> 03/02/2026 FACEBK *5ENY8GHKF2_4347983344498432-447377</t>
  </si>
  <si>
    <t xml:space="preserve"> 03/02/2026 FACEBK *3KNY8GHKF2_4347983344498432-447404</t>
  </si>
  <si>
    <t xml:space="preserve"> 03/02/2026 FACEBK *846DDDVKF2_4347983344498432-473741</t>
  </si>
  <si>
    <t>(NB) Recepcion de cuenta: 005637150016. FACTURA 1619_FACTURA 1619</t>
  </si>
  <si>
    <t>DepÃ³sito en efectivo_ZJW0IqBwmG</t>
  </si>
  <si>
    <t>(BE) Pago servicio: COMISION FEDERAL DE_014151010001632602130000890777</t>
  </si>
  <si>
    <t>VVHR432 SPEI. BBVA MEXICO. 012580015198799852. RUBEN SALAZAR CANTU. 058-04/02/2026/04-055VVHR432. 1111111. F176_SPEI</t>
  </si>
  <si>
    <t>VVHR436 SPEI. BBVA MEXICO. 012180001854933667. COMERCIALIZADORA PEPSICO DE MEXICO S DE. 058-04/02/2026/04-055VVHR436. 1111111. F06358610_SPEI</t>
  </si>
  <si>
    <t>VVHR427 SPEI. BBVA MEXICO. 012580004828088624. JOSE MANUEL CHARLES PEÃ‘A. 058-04/02/2026/04-055VVHR427. 1111111. F957_SPEI</t>
  </si>
  <si>
    <t>VVHR440 SPEI. BBVA MEXICO. 012180001854933667. COMERCIALIZADORA PEPSICO DE MEXICO S DE. 058-04/02/2026/04-055VVHR440. 1111111. F06361700_SPEI</t>
  </si>
  <si>
    <t>VVMN456 SPEI. FONDEADORA. 699180600007770514. GRUPO AMBIT TECHNOLOGY. FN777051T1770249109Bd441N037. 8562372. Carniceria Maria Cri Pago a Restaurante_FN777051T1770249109Bd441N037</t>
  </si>
  <si>
    <t>DepÃ³sito en efectivo_pJW-WYxhRT</t>
  </si>
  <si>
    <t>Cobro de cheque:0000000007631_0007631</t>
  </si>
  <si>
    <t>DepÃ³sito en efectivo_pJXS8MZU7D</t>
  </si>
  <si>
    <t>Pago de Servicio UNPACO_2141</t>
  </si>
  <si>
    <t>(BE) Traspaso a cuenta: 055003730017. RFC:DCM02072238A. IVA:0.00. TRANSPASO ENTRE CUENTAS_(BE) Traspaso</t>
  </si>
  <si>
    <t>VWSA708 SPEI. BANORTE. 072580005639150502. JOSE LUIS ESCOBEDO SALINAS. 058-09/02/2026/09-055VWSA708. 1111111. F12407_SPEI</t>
  </si>
  <si>
    <t>VWSA513 SPEI. BMONEX. 112180000023992699. CEDRAL GREENHOUSE SA DE CV. 058-09/02/2026/09-055VWSA513. 1111111. F70865_SPEI</t>
  </si>
  <si>
    <t>VWSA548 SPEI. BANORTE. 072580013296095254. LIZETH PEÃ‘A MARTINEZ. 058-09/02/2026/09-055VWSA548. 1111111. F2749 2769 2791 2806 2831_SPEI</t>
  </si>
  <si>
    <t>VWSA690 SPEI. BANORTE. 072580001053304721. JOSE EULALIO BLANCO VALDEZ. 058-09/02/2026/09-055VWSA690. 1111111. F56474_SPEI</t>
  </si>
  <si>
    <t>VWSA531 SPEI. BBVA MEXICO. 012580004479898577. PLATANERAMA DE MONTERREY. S.A. DE C.V.. 058-09/02/2026/09-055VWSA531. 1111111. F136829 136867 136913 136966 137018 1370_SPEI</t>
  </si>
  <si>
    <t>VWSA519 SPEI. SANTANDER. 014580655062831398. MASTER FRUT SA DE CV. 058-09/02/2026/09-055VWSA519. 1111111. F62086 62105 62136 62149 62184 62195_SPEI</t>
  </si>
  <si>
    <t>VWSA564 SPEI. BANAMEX. 002537700919300976. MA ELENA DE LA SALUD HERRERA BECERRA. 058-09/02/2026/09-055VWSA564. 1111111. F6344 6365 6431 6394 06373 6410_SPEI</t>
  </si>
  <si>
    <t>VWSA536 SPEI. BBVA MEXICO. 012730001921227313. PREMIER FRUTOS DEL CAMPO SA DE CV. 058-09/02/2026/09-055VWSA536. 1111111. F119688 119774_SPEI</t>
  </si>
  <si>
    <t>VWSA603 SPEI. SANTANDER. 014580220007679542. GRUPO EXPORTADOR DEL CAMPO VT SA DE CV. 058-09/02/2026/09-055VWSA603. 1111111. F23537_SPEI</t>
  </si>
  <si>
    <t>VWSA591 SPEI. BANORTE. 072580010616248820. GRUPO AGRICOLA LOS PINOS MONTERREY. 058-09/02/2026/09-055VWSA591. 1111111. F49957 49974 50011 50036 50051_SPEI</t>
  </si>
  <si>
    <t>VWSA542 SPEI. BANORTE. 072580006832112854. COMERCIALIZADORA AGRICOLA FC SA DE CV. 058-09/02/2026/09-055VWSA542. 1111111. F72185 72209 72228 72238 72261 72278_SPEI</t>
  </si>
  <si>
    <t>VWSA554 SPEI. SANTANDER. 014580655110856306. BETULIA BRAND SOFT QUALUTY SA DE CV. 058-09/02/2026/09-055VWSA554. 1111111. F2549 2565 2586 2609_SPEI</t>
  </si>
  <si>
    <t>VWSA651 SPEI. BANORTE. 072580011199748448. GUSTAVO JAVIER CHACON SOTENO. 058-09/02/2026/09-055VWSA651. 1111111. F61232 61257 61314 61335 61350_SPEI</t>
  </si>
  <si>
    <t>VWSA618 SPEI. BANORTE. 072580001720201869. GRUPO KARYCY SA DE CV. 058-09/02/2026/09-055VWSA618. 1111111. F49528 49583 49630_SPEI</t>
  </si>
  <si>
    <t>VWSA668 SPEI. BBVA MEXICO. 012650001956906417. HUGO GONZALEZ ORTIZ. 058-09/02/2026/09-055VWSA668. 1111111. F23901_SPEI</t>
  </si>
  <si>
    <t>VWSA499 SPEI. BANORTE. 072580005876353544. AGROCHILEROS. 058-09/02/2026/09-055VWSA499. 1111111. F458245 458243 458290 458351 458340 4584_SPEI</t>
  </si>
  <si>
    <t>VWSA558 SPEI. BANORTE. 072810002611145884. LUIS ALFREDO HERNANDEZ RIVERA. 058-09/02/2026/09-055VWSA558. 1111111. F24136 24149 24203 24178 24164 24191_SPEI</t>
  </si>
  <si>
    <t>VWSA719 SPEI. SANTANDER. 014744655114104117. LIDIA ESPERANZA VALDEZ TORRECILLAS. 058-09/02/2026/09-055VWSA719. 1111111. F7002 7034 7049 7072 7093 7112_SPEI</t>
  </si>
  <si>
    <t>VWSA525 SPEI. BBVA MEXICO. 012180001964549925. PAISANO CAPITAL SAPI DE CV. 058-09/02/2026/09-055VWSA525. 1111111. F15899 15967 15961 15951 15944 15938 159_SPEI</t>
  </si>
  <si>
    <t>(BE) Traspaso a cuenta: 010840160012. F21919_010840160012</t>
  </si>
  <si>
    <t>(BE) Traspaso a cuenta: 010846140013. F42249 42254 42326 42362_010846140013</t>
  </si>
  <si>
    <t>(BE) Traspaso a cuenta: 010031700014. F28382 28419 28467 28501 28536 28568_010031700014</t>
  </si>
  <si>
    <t>(BE) Traspaso a cuenta: 010878340014. F74226_010878340014</t>
  </si>
  <si>
    <t>(BE) Traspaso a cuenta: 058580100399100180. F16064 16083_058580100399100180</t>
  </si>
  <si>
    <t>(BE) Traspaso a cuenta: 034016050018. F51546 51577_034016050018</t>
  </si>
  <si>
    <t>(BE) Traspaso a cuenta: 058580100365300105. F93553 93653 93667 93753 93886 93985 940_058580100365300105</t>
  </si>
  <si>
    <t>(BE) Traspaso a cuenta: 010021560010. F122554 122620 122641 122706_010021560010</t>
  </si>
  <si>
    <t>(BE) Traspaso a cuenta: 010858110012. F114203_010858110012</t>
  </si>
  <si>
    <t>(BE) Traspaso a cuenta: 010030440019. F147405 147461 147518 147602_010030440019</t>
  </si>
  <si>
    <t>(BE) Traspaso a cuenta: 058580026545900124. F16483 16512 16541 16585 16612 16626_058580026545900124</t>
  </si>
  <si>
    <t>(BE) Traspaso a cuenta: 010020930018. F5437_010020930018</t>
  </si>
  <si>
    <t>(BE) Traspaso a cuenta: 058580100389800128. F15903_058580100389800128</t>
  </si>
  <si>
    <t>(BE) Traspaso a cuenta: 058580100090600109. F237814 237819 238047 238111 238165 3838_058580100090600109</t>
  </si>
  <si>
    <t>CancelaciÃ³n  SPEI: VWSA564_SPEI</t>
  </si>
  <si>
    <t>CancelaciÃ³n  SPEI: VWSA542_SPEI</t>
  </si>
  <si>
    <t>CancelaciÃ³n  SPEI: VWSA708_SPEI</t>
  </si>
  <si>
    <t>CancelaciÃ³n  SPEI: VWSA591_SPEI</t>
  </si>
  <si>
    <t>CancelaciÃ³n  SPEI: VWSA618_SPEI</t>
  </si>
  <si>
    <t>CancelaciÃ³n  SPEI: VWSA651_SPEI</t>
  </si>
  <si>
    <t>CancelaciÃ³n  SPEI: VWSA513_SPEI</t>
  </si>
  <si>
    <t>(NB) Recepcion de cuenta: 038900320016. TRANSPASO ENTRE CUENTAS_TRANSPASO ENTRE CUENTAS</t>
  </si>
  <si>
    <t>(BE) Traspaso a cuenta: 034013350011. F34632_034013350011</t>
  </si>
  <si>
    <t>(BE) Traspaso a cuenta: 031011240014. F144655_031011240014</t>
  </si>
  <si>
    <t>(BE) Traspaso a cuenta: 018018130013. F89868_018018130013</t>
  </si>
  <si>
    <t>(BE) Traspaso a cuenta: 007010020012. F90552 90611_007010020012</t>
  </si>
  <si>
    <t>(BE) Traspaso a cuenta: 044935300018. F4A26_044935300018</t>
  </si>
  <si>
    <t>(BE) Traspaso a cuenta: 007063240014. F002109 002119 FC002114 002124_007063240014</t>
  </si>
  <si>
    <t>(BE) Traspaso a cuenta: 017027970010. F1519_017027970010</t>
  </si>
  <si>
    <t>(BE) Traspaso a cuenta: 058580440203000162. F222_058580440203000162</t>
  </si>
  <si>
    <t>(BE) Traspaso a cuenta: 058180000150703446. F15560_058180000150703446</t>
  </si>
  <si>
    <t>VWSM337 SPEI. BAJIO. 030580900012652243. COMERCIALIZADORA DE POLLOS CISCO SA DE C. 058-09/02/2026/09-055VWSM337. 1111111. F53739 53755 53757 53804_SPEI</t>
  </si>
  <si>
    <t>VWSM430 SPEI. BBVA MEXICO. 012580004878759835. MARIA TERESA RAMOS ALVARADO. 058-09/02/2026/09-055VWSM430. 1111111. F9837_SPEI</t>
  </si>
  <si>
    <t>VWSM351 SPEI. AFIRME. 062580001191077768. GERARDO GALLARDO DE LA ROSA. 058-09/02/2026/09-055VWSM351. 1111111. F20260823_SPEI</t>
  </si>
  <si>
    <t>VWSM310 SPEI. BBVA MEXICO. 012914002012175348. BIMBO SA DE CV. 058-09/02/2026/09-055VWSM310. 1111111. D2487000071628500009_SPEI</t>
  </si>
  <si>
    <t>VWSM429 SPEI. BBVA MEXICO. 012068004820203945. MARIA CRUZ ALMANZA VAZQUEZ. 058-09/02/2026/09-055VWSM429. 1111111. F4095_SPEI</t>
  </si>
  <si>
    <t>VWSM359 SPEI. AFIRME. 062580001051585219. JOSE ALBERTO LOZANO DE LA GARZA. 058-09/02/2026/09-055VWSM359. 1111111. F13383_SPEI</t>
  </si>
  <si>
    <t>VWSM345 SPEI. BANORTE. 072580006510205436. DISTRIBUIDORA ARCA CONTINENTAL S DE RL D. 058-09/02/2026/09-055VWSM345. 1111111. F5642420990_SPEI</t>
  </si>
  <si>
    <t>VWSM320 SPEI. BBVA MEXICO. 012580004498804610. CARBON LALO. S.A. DE C.V.. 058-09/02/2026/09-055VWSM320. 1111111. F65806 65807_SPEI</t>
  </si>
  <si>
    <t>VWSM446 SPEI. BBVA MEXICO. 012580004612751002. ROBERTO CANTU OZUNA. 058-09/02/2026/09-055VWSM446. 1111111. F32815_SPEI</t>
  </si>
  <si>
    <t>VWSM396 SPEI. BBVA MEXICO. 012914002012175348. BIMBO SA DE CV. 058-09/02/2026/09-055VWSM396. 1111111. D2487000071628500009_SPEI</t>
  </si>
  <si>
    <t>VWSM348 SPEI. SANTANDER. 014580655040561839. ERASMO GOMEZ GONZALEZ. 058-09/02/2026/09-055VWSM348. 1111111. F18969_SPEI</t>
  </si>
  <si>
    <t>VWSM452 SPEI. BANORTE. 072580012973541200. PANIFICADORA Y ALIMENTOS M3 SA DE CV. 058-09/02/2026/09-055VWSM452. 1111111. F63_SPEI</t>
  </si>
  <si>
    <t>VWSM421 SPEI. BANORTE. 072580002399245802. JOSE SATURNINO TRISTAN SNACHEZ. 058-09/02/2026/09-055VWSM421. 1111111. F4542_SPEI</t>
  </si>
  <si>
    <t>VWSM315 SPEI. BBVA MEXICO. 012580001167374047. ALIMENTOS REGIOMONTANOS PERCAM SA DE CV. 058-09/02/2026/09-055VWSM315. 1111111. F7692_SPEI</t>
  </si>
  <si>
    <t>VWSM454 SPEI. BBVA MEXICO. 012914002012175348. BIMBO SA DE CV. 058-09/02/2026/09-055VWSM454. 1111111. D2487000071628500009_SPEI</t>
  </si>
  <si>
    <t>VWSM339 SPEI. BBVA MEXICO. 012580004430637984. COM.MEXICANA DE GAS. 058-09/02/2026/09-055VWSM339. 1111111. F318976_SPEI</t>
  </si>
  <si>
    <t>VWSM292 SPEI. BBVA MEXICO. 012580004558985958. ADRIANA MARICELA GONZALEZ ALMARAZ. 058-09/02/2026/09-055VWSM292. 1111111. F12853_SPEI</t>
  </si>
  <si>
    <t>VWSM432 SPEI. BBVA MEXICO. 012535001476871684. OMEX ALIMENTARIA SA DE CV. 058-09/02/2026/09-055VWSM432. 1111111. F86060_SPEI</t>
  </si>
  <si>
    <t>VWSM343 SPEI. BANORTE. 072580005350280146. DELIPRIME ALIMENTOS SA DE CV. 058-09/02/2026/09-055VWSM343. 1111111. F178975_SPEI</t>
  </si>
  <si>
    <t>VWSM303 SPEI. BBVA MEXICO. 012580004587649058. ALEJANDRO ZAMBRANO MORALES. 058-09/02/2026/09-055VWSM303. 1111111. F5186_SPEI</t>
  </si>
  <si>
    <t>VWSM427 SPEI. AFIRME. 062580001071252726. MARCO ANTONIO TAMEZ CERVANTES. 058-09/02/2026/09-055VWSM427. 1111111. F16564_SPEI</t>
  </si>
  <si>
    <t>VWSM352 SPEI. BANORTE. 072580006413762322. GERMAN CABRERA GARZA. 058-09/02/2026/09-055VWSM352. 1111111. F4023 4024_SPEI</t>
  </si>
  <si>
    <t>VWSM313 SPEI. BBVA MEXICO. 012914002012175348. BIMBO SA DE CV. 058-09/02/2026/09-055VWSM313. 1111111. D2487000071628500009_SPEI</t>
  </si>
  <si>
    <t>VWSM356 SPEI. SCOTIABANK. 044580256010037649. GUSTAVO VARGAS RODRIGUEZ. 058-09/02/2026/09-055VWSM356. 1111111. F4220_SPEI</t>
  </si>
  <si>
    <t>VWSM318 SPEI. HSBC. 021180550300038985. BEBIDAS PURIFICADAS S DE RL DE CV. 058-09/02/2026/09-055VWSM318. 1111111. 5077009958417_SPEI</t>
  </si>
  <si>
    <t>VWSM450 SPEI. BBVA MEXICO. 012180001250835084. GRUPO AMBIT TECHNOLOGY. 058-09/02/2026/09-055VWSM450. 1111111. F01475_SPEI</t>
  </si>
  <si>
    <t>VWSM370 SPEI. BBVA MEXICO. 012914002012175348. BIMBO SA DE CV. 058-09/02/2026/09-055VWSM370. 1111111. D2487000071628500009_SPEI</t>
  </si>
  <si>
    <t>VWSM442 SPEI. BANAMEX. 002580701049546915. OSCAR JUAN MARTINEZ JIMENEZ. 058-09/02/2026/09-055VWSM442. 1111111. F4027_SPEI</t>
  </si>
  <si>
    <t>VWSM410 SPEI. BANORTE. 072580011985554448. PRODUCTOS TRESAN. 058-09/02/2026/09-055VWSM410. 1111111. F8168_SPEI</t>
  </si>
  <si>
    <t>VWSM330 SPEI. BBVA MEXICO. 012580001203176756. COMASA MONTERREY SA DE CV. 058-09/02/2026/09-055VWSM330. 1111111. F1916_SPEI</t>
  </si>
  <si>
    <t>VWSM448 SPEI. BANORTE. 072580001580760715. SISSA. 058-09/02/2026/09-055VWSM448. 1111111. F17568 16948_SPEI</t>
  </si>
  <si>
    <t>IIM 651101EVA 06/02/2026 IMPULSORA IND MTY NET_4347983363118523-917630</t>
  </si>
  <si>
    <t>DepÃ³sito en efectivo_pJYP1X7OC7</t>
  </si>
  <si>
    <t>(BE) Pago servicio: PAGO SUA/SIPARE_659522</t>
  </si>
  <si>
    <t>DepÃ³sito en efectivo_pJYR2DuwqN</t>
  </si>
  <si>
    <t>VXUN637 SPEI. BANORTE. 072580001218721880. EDDY ALBERTO MORALES CISNEROS. 38432P05202602094961180697. 0260209. manteca de res_38432P05202602094961180697</t>
  </si>
  <si>
    <t>VXVC818 SPEI. BBVA MEXICO. 012914002012175348. BIMBO SA DE CV. 058-09/02/2026/09-055VXVC818. 1111111. D2487000071628500009_SPEI</t>
  </si>
  <si>
    <t>VXVC779 SPEI. SANTANDER. 014580606261632101. ANTONIO EDUARDO QUIRINO SIFUENTES. 058-09/02/2026/09-055VXVC779. 1111111. FD4E1_SPEI</t>
  </si>
  <si>
    <t>VXVC810 SPEI. BBVA MEXICO. 012914002012175348. BIMBO SA DE CV. 058-09/02/2026/09-055VXVC810. 1111111. D2487000071628500009_SPEI</t>
  </si>
  <si>
    <t>VXVC829 SPEI. AFIRME. 062592115010010764. NUTRIENTES PECUARIOS ESPECIALIZADOS. 058-09/02/2026/09-055VXVC829. 1111111. F95_SPEI</t>
  </si>
  <si>
    <t>VXVC811 SPEI. BBVA MEXICO. 012914002012175348. BIMBO SA DE CV. 058-09/02/2026/09-055VXVC811. 1111111. D2487000071628500009_SPEI</t>
  </si>
  <si>
    <t>VXVC786 SPEI. BANORTE. 072580001710278297. BOTANAS Y DERIVADOS SA DE CV. 058-09/02/2026/09-055VXVC786. 1111111. F9001451606_SPEI</t>
  </si>
  <si>
    <t>VXVC804 SPEI. BBVA MEXICO. 012914002012175348. BIMBO SA DE CV. 058-09/02/2026/09-055VXVC804. 1111111. D2487000071628500009_SPEI</t>
  </si>
  <si>
    <t>VXVC803 SPEI. BANORTE. 072580006510205436. DISTRIBUIDORA ARCA CONTINENTAL S DE RL D. 058-09/02/2026/09-055VXVC803. 1111111. F5643227980_SPEI</t>
  </si>
  <si>
    <t>VXVC782 SPEI. HSBC. 021180550300038985. BEBIDAS PURIFICADAS S DE RL DE CV. 058-09/02/2026/09-055VXVC782. 1111111. 5077009958417_SPEI</t>
  </si>
  <si>
    <t>VXVC807 SPEI. BBVA MEXICO. 012914002012175348. BIMBO SA DE CV. 058-09/02/2026/09-055VXVC807. 1111111. D2487000071628500009_SPEI</t>
  </si>
  <si>
    <t>VXVC801 SPEI. BBVA MEXICO. 012180001854933667. COMERCIALIZADORA PEPSICO DE MEXICO S DE. 058-09/02/2026/09-055VXVC801. 1111111. F6410034_SPEI</t>
  </si>
  <si>
    <t>Pago Tarjeta Credito No.4364010673337565_0000166964</t>
  </si>
  <si>
    <t xml:space="preserve"> 09/02/2026 FACEBK *76HQ8EMKF2_4347983344498432-259695</t>
  </si>
  <si>
    <t xml:space="preserve"> 09/02/2026 FACEBK *ACHQ8EMKF2_4347983344498432-259712</t>
  </si>
  <si>
    <t xml:space="preserve"> 10/02/2026 CASABLANCA FERRETERIA APODACA_4347983363118523-577183</t>
  </si>
  <si>
    <t>DepÃ³sito en efectivo_mJYlRnKr6X</t>
  </si>
  <si>
    <t>DepÃ³sito en efectivo_mJYlRnN3bX</t>
  </si>
  <si>
    <t>(BE) Traspaso a cuenta: 038859050015. F14886_038859050015</t>
  </si>
  <si>
    <t>(BE) Traspaso a cuenta: 018071130017. F8105_018071130017</t>
  </si>
  <si>
    <t>VYHZ373 SPEI. BANORTE. 072580005639150502. JOSE LUIS ESCOBEDO SALINAS. 058-10/02/2026/10-055VYHZ373. 1111111. F12407_SPEI</t>
  </si>
  <si>
    <t>ComisiÃ³n Transferencia - envÃ­o ; (SPEI; banca por internet)_COM. SPEI</t>
  </si>
  <si>
    <t>IVA de ComisiÃ³n Transferencia - envÃ­o ; (SPEI; banca por internet)_IVA SPEI</t>
  </si>
  <si>
    <t>VYHZ355 SPEI. SANTANDER. 014580655040561839. ERASMO GOMEZ GONZALEZ. 058-10/02/2026/10-055VYHZ355. 1111111. F19004_SPEI</t>
  </si>
  <si>
    <t>VYHZ318 SPEI. SANTANDER. 014730655023954514. SUKARNE SA DE CV. 058-10/02/2026/10-055VYHZ318. 1111111. 38936001_SPEI</t>
  </si>
  <si>
    <t>VYHZ358 SPEI. BANORTE. 072580001720201869. GRUPO KARYCY SA DE CV. 058-10/02/2026/10-055VYHZ358. 1111111. F49528 49583 49630_SPEI</t>
  </si>
  <si>
    <t>VYHZ305 SPEI. AFIRME. 062580001051619800. PRACTICHEFF SA DE CV. 058-10/02/2026/10-055VYHZ305. 1111111. F064756_SPEI</t>
  </si>
  <si>
    <t>VYHZ395 SPEI. BBVA MEXICO. 012068004743238314. JUAN MANUEL RODRIGUEZ ZENDEJO. 058-10/02/2026/10-055VYHZ395. 1111111. F32001_SPEI</t>
  </si>
  <si>
    <t>VYHZ352 SPEI. SANTANDER. 014580655024856654. DESARROLLO DE ENGORDAS ESTABULADAS. SA D. 058-10/02/2026/10-055VYHZ352. 1111111. F303769_SPEI</t>
  </si>
  <si>
    <t>VYHZ314 SPEI. BANORTE. 072580001580760715. SISSA. 058-10/02/2026/10-055VYHZ314. 1111111. F19348 19876 18703 21371 18055 20497 220_SPEI</t>
  </si>
  <si>
    <t>VYHZ333 SPEI. BBVA MEXICO. 012441004750090573. ADRIANA SANCHEZ GAMEZ. 058-10/02/2026/10-055VYHZ333. 1111111. F193_SPEI</t>
  </si>
  <si>
    <t>VYHZ308 SPEI. BANAMEX. 002580433000030453. PRODUCTOS TOSTI GAR SA DE CV. 058-10/02/2026/10-055VYHZ308. 1111111. F324862 325103_SPEI</t>
  </si>
  <si>
    <t>VYHZ331 SPEI. SCOTIABANK. 044580256057862424. JOSE CARLOS ARROYO ARRIETA. 058-10/02/2026/10-055VYHZ331. 1111111. F71_SPEI</t>
  </si>
  <si>
    <t>VYHZ301 SPEI. BBVA MEXICO. 012580004850794973. PAMELA TERESITA SALAS ALMAGUER. 058-10/02/2026/10-055VYHZ301. 1111111. F663_SPEI</t>
  </si>
  <si>
    <t>VYHZ357 SPEI. BANORTE. 072580010616248820. GRUPO AGRICOLA LOS PINOS MONTERREY. 058-10/02/2026/10-055VYHZ357. 1111111. F49957 49974 50011 50036 50051_SPEI</t>
  </si>
  <si>
    <t>VYHZ300 SPEI. AFIRME. 062580001071252726. MARCO ANTONIO TAMEZ CERVANTES. 058-10/02/2026/10-055VYHZ300. 1111111. F16578_SPEI</t>
  </si>
  <si>
    <t>VYHZ409 SPEI. BANORTE. 072580004289807824. JOSEAN SILVA SEGOVIA. 058-10/02/2026/10-055VYHZ409. 1111111. FE871_SPEI</t>
  </si>
  <si>
    <t>VYHZ350 SPEI. BMONEX. 112180000023992699. CEDRAL GREENHOUSE SA DE CV. 058-10/02/2026/10-055VYHZ350. 1111111. F70865_SPEI</t>
  </si>
  <si>
    <t>VYHZ359 SPEI. BANORTE. 072580011199748448. GUSTAVO JAVIER CHACON SOTENO. 058-10/02/2026/10-055VYHZ359. 1111111. F61232 61257 61314 61335 61350_SPEI</t>
  </si>
  <si>
    <t>VYHZ288 SPEI. AFIRME. 062580001014089147. BOTANAS BOGOS SA DE CV. 058-10/02/2026/10-055VYHZ288. 1111111. F27698_SPEI</t>
  </si>
  <si>
    <t>VYHZ337 SPEI. BBVA MEXICO. 012580001167374047. ALIMENTOS REGIOMONTANOS PERCAM SA DE CV. 058-10/02/2026/10-055VYHZ337. 1111111. F7694 7699_SPEI</t>
  </si>
  <si>
    <t>VYHZ327 SPEI. SANTANDER. 014583655076477091. LA TRADICIONAL DEL BLANQUILLO SA DE CV. 058-10/02/2026/10-055VYHZ327. 1111111. F10388_SPEI</t>
  </si>
  <si>
    <t>VYHZ312 SPEI. BANORTE. 072580010522157474. RADA ALIMENTOS CARNICOS. 058-10/02/2026/10-055VYHZ312. 1111111. F4245_SPEI</t>
  </si>
  <si>
    <t>VYHZ298 SPEI. BBVA MEXICO. 012580001697892196. BRENDA GUADALUPE MONTELONGO CONCHA. 058-10/02/2026/10-055VYHZ298. 1111111. F31515 031482_SPEI</t>
  </si>
  <si>
    <t>VYHZ408 SPEI. BANAMEX. 002537700919300976. MA ELENA DE LA SALUD HERRERA BECERRA. 058-10/02/2026/10-055VYHZ408. 1111111. F6344 6365 6431 6394 06373 6410_SPEI</t>
  </si>
  <si>
    <t>VYHZ336 SPEI. BANORTE. 072580001455640698. ALFONSO ENRIQUE BERNAL LEON. 058-10/02/2026/10-055VYHZ336. 1111111. F5775_SPEI</t>
  </si>
  <si>
    <t>VYHZ329 SPEI. BANORTE. 072580006832112854. COMERCIALIZADORA AGRICOLA FC SA DE CV. 058-10/02/2026/10-055VYHZ329. 1111111. F72185 72209 72228 72238 72261 72278_SPEI</t>
  </si>
  <si>
    <t>VYHZ360 SPEI. BANORTE. 072580006768828296. HOMERO GARZA MARTINEZ. 058-10/02/2026/10-055VYHZ360. 1111111. F799_SPEI</t>
  </si>
  <si>
    <t>VYHZ348 SPEI. SANTANDER. 014580655036661992. ALIMENTOS Y SAZONADORES REGIOS. 058-10/02/2026/10-055VYHZ348. 1111111. F00423_SPEI</t>
  </si>
  <si>
    <t>VYHZ313 SPEI. BBVA MEXICO. 012580001089807210. RICARDO DAVILA SANCHEZ. 058-10/02/2026/10-055VYHZ313. 1111111. F8360_SPEI</t>
  </si>
  <si>
    <t>(BE) Traspaso a cuenta: 038944120014. F22021 22032 22046 22054 22061 22066 220_038944120014</t>
  </si>
  <si>
    <t>(BE) Traspaso a cuenta: 058580428275900157. F3000_058580428275900157</t>
  </si>
  <si>
    <t>(BE) Traspaso a cuenta: 045806690019. F1889 1891_045806690019</t>
  </si>
  <si>
    <t>(BE) Traspaso a cuenta: 058580599757700144. F1608 1609_058580599757700144</t>
  </si>
  <si>
    <t>(BE) Traspaso a cuenta: 007010020012. F90647 90703 90731_007010020012</t>
  </si>
  <si>
    <t>(BE) Traspaso a cuenta: 003049230019. F175604_003049230019</t>
  </si>
  <si>
    <t>(BE) Traspaso a cuenta: 058580000150971205. F000470 000478_058580000150971205</t>
  </si>
  <si>
    <t>(BE) Traspaso a cuenta: 009088180019. F69252_009088180019</t>
  </si>
  <si>
    <t>(BE) Traspaso a cuenta: 058580440203000162. F223_058580440203000162</t>
  </si>
  <si>
    <t>(BE) Traspaso a cuenta: 018018130013. F89865_018018130013</t>
  </si>
  <si>
    <t>(BE) Traspaso a cuenta: 017659060019. F2012_017659060019</t>
  </si>
  <si>
    <t>VYIR178 SPEI. BBVA MEXICO. 012580004823222184. JOSE ARTURO MEDERES GARZA. 058-10/02/2026/10-055VYIR178. 1111111. F759_SPEI</t>
  </si>
  <si>
    <t xml:space="preserve">11/02/2026 - CARGO ACL AFIL 8996711 TARJ NO 510125******4718 NO AUT 186711 F NOTF 11/02/2026_ </t>
  </si>
  <si>
    <t>NWM 9709244W4 10/02/2026 SAMS CAMINO HUINALA_4347983363118523-555271</t>
  </si>
  <si>
    <t xml:space="preserve"> 09/02/2026 FACEBK *PCB6MDDKF2_4347983344498432-462924</t>
  </si>
  <si>
    <t>DepÃ³sito en efectivo_mJY5qiHX0o</t>
  </si>
  <si>
    <t>(BE) Pago servicio: PAGO REFERENCIADO SA_0426117G260048840483</t>
  </si>
  <si>
    <t>(BE) Pago servicio: PAGO REFERENCIADO SA_0426116V510048840473</t>
  </si>
  <si>
    <t>VYQQ109 SPEI. HSBC. 021180550300084609. SECRETARIA DE FINANZAS Y TESORERIA GENER. 058-11/02/2026/11-055VYQQ109. 100000. 010000000000287490090248833263_SPEI</t>
  </si>
  <si>
    <t>VYTQ418 SPEI. FONDEADORA. 699180600007770514. GRUPO AMBIT TECHNOLOGY. FN777051T1770847074B1178N036. 9200092. Carniceria Maria Cri Pago a Restaurante_FN777051T1770847074B1178N036</t>
  </si>
  <si>
    <t>DepÃ³sito en efectivo_mJZOXvrEQv</t>
  </si>
  <si>
    <t>VZBW167 SPEI. BBVA MEXICO. 012914002012175348. BIMBO SA DE CV. 058-12/02/2026/12-055VZBW167. 1111111. D2487000071628500009_SPEI</t>
  </si>
  <si>
    <t>VZBW193 SPEI. BBVA MEXICO. 012914002012175348. BIMBO SA DE CV. 058-12/02/2026/12-055VZBW193. 1111111. D2487000071628500009_SPEI</t>
  </si>
  <si>
    <t>VZBW172 SPEI. BBVA MEXICO. 012914002012175348. BIMBO SA DE CV. 058-12/02/2026/12-055VZBW172. 1111111. D2487000071628500009_SPEI</t>
  </si>
  <si>
    <t>VZBW165 SPEI. HSBC. 021180550300038985. BEBIDAS PURIFICADAS S DE RL DE CV. 058-12/02/2026/12-055VZBW165. 1111111. 5077009958417_SPEI</t>
  </si>
  <si>
    <t>VZBW186 SPEI. BBVA MEXICO. 012914002012175348. BIMBO SA DE CV. 058-12/02/2026/12-055VZBW186. 1111111. D2487000071628500009_SPEI</t>
  </si>
  <si>
    <t>VZBW223 SPEI. BBVA MEXICO. 012914002012175348. BIMBO SA DE CV. 058-12/02/2026/12-055VZBW223. 1111111. D2487000071628500009_SPEI</t>
  </si>
  <si>
    <t>VZBW160 SPEI. SANTANDER. 014580606261632101. ANTONIO EDUARDO QUIRINO SIFUENTES. 058-12/02/2026/12-055VZBW160. 1111111. F56DD_SPEI</t>
  </si>
  <si>
    <t>VZBW175 SPEI. BBVA MEXICO. 012914002012175348. BIMBO SA DE CV. 058-12/02/2026/12-055VZBW175. 1111111. D2487000071628500009_SPEI</t>
  </si>
  <si>
    <t>(BE) Traspaso a cuenta: 058580116904300123. F6321_058580116904300123</t>
  </si>
  <si>
    <t>(BE) Traspaso a cuenta: 058580116904300123. F6320_058580116904300123</t>
  </si>
  <si>
    <t>VZMH965 SPEI. BANXICO. 001180228001000108. TESORERIA DE LA FEDERACION. 30202666211043321030002834. 0130015. HACIENDA TE DEVUELVE DC312600003018_30202666211043321030002834</t>
  </si>
  <si>
    <t>VZMH966 SPEI. BANXICO. 001180228001000108. TESORERIA DE LA FEDERACION. 30202666211043321030002864. 0130015. HACIENDA TE DEVUELVE DC312600003017_30202666211043321030002864</t>
  </si>
  <si>
    <t>VZNR350 SPEI. STP. 646180214370487517. PASE HOMERO JR. 058-13/02/2026/13-055VZNR350. 100729. Transferencia de DISTRIBUIDORA DE CARNES_SPEI</t>
  </si>
  <si>
    <t>(BE) Traspaso a cuenta: 058580100365300105. F94201 94300 94347 94427 94586 94704 948_058580100365300105</t>
  </si>
  <si>
    <t>(BE) Traspaso a cuenta: 010031700014. F28608 28607 28645 28669 28712 28753 287_010031700014</t>
  </si>
  <si>
    <t>(BE) Traspaso a cuenta: 058580100399100180. F16184 16208 16230 16254 16274_058580100399100180</t>
  </si>
  <si>
    <t>(BE) Traspaso a cuenta: 010878340014. F74293_010878340014</t>
  </si>
  <si>
    <t>VZOE642 SPEI. BANORTE. 072580001720201869. GRUPO KARYCY SA DE CV. 058-13/02/2026/13-055VZOE642. 1111111. F49699 49750 49800 49880 49898_SPEI</t>
  </si>
  <si>
    <t>VZOE706 SPEI. BBVA MEXICO. 012180001964549925. PAISANO CAPITAL SAPI DE CV. 058-13/02/2026/13-055VZOE706. 1111111. F15982 16021 16015 16006 15998_SPEI</t>
  </si>
  <si>
    <t>VZOE674 SPEI. BANORTE. 072810002611145884. LUIS ALFREDO HERNANDEZ RIVERA. 058-13/02/2026/13-055VZOE674. 1111111. F24210 24235 24226 24255 24260 24268_SPEI</t>
  </si>
  <si>
    <t>VZOE723 SPEI. BANORTE. 072580006832112854. COMERCIALIZADORA AGRICOLA FC SA DE CV. 058-13/02/2026/13-055VZOE723. 1111111. F72292 72311 72328 72348 72372 72391_SPEI</t>
  </si>
  <si>
    <t>VZOE632 SPEI. BANORTE. 072580010616248820. GRUPO AGRICOLA LOS PINOS MONTERREY. 058-13/02/2026/13-055VZOE632. 1111111. F50136_SPEI</t>
  </si>
  <si>
    <t>VZOE686 SPEI. BANAMEX. 002537700919300976. MA ELENA DE LA SALUD HERRERA BECERRA. 058-13/02/2026/13-055VZOE686. 1111111. F6470 6445 6491 6508 6524 6538_SPEI</t>
  </si>
  <si>
    <t>VZOE649 SPEI. BANORTE. 072580011199748448. GUSTAVO JAVIER CHACON SOTENO. 058-13/02/2026/13-055VZOE649. 1111111. F61432_SPEI</t>
  </si>
  <si>
    <t>VZOE727 SPEI. BANORTE. 072580013296095254. LIZETH PEÃ‘A MARTINEZ. 058-13/02/2026/13-055VZOE727. 1111111. F2868 2844 2880 2902 2919 2942 2958_SPEI</t>
  </si>
  <si>
    <t>VZOE638 SPEI. SANTANDER. 014580220007679542. GRUPO EXPORTADOR DEL CAMPO VT SA DE CV. 058-13/02/2026/13-055VZOE638. 1111111. F23626_SPEI</t>
  </si>
  <si>
    <t>VZOE714 SPEI. BANORTE. 072580011016795192. ROGELIO GARZA FLORES. 058-13/02/2026/13-055VZOE714. 1111111. F5287_SPEI</t>
  </si>
  <si>
    <t>VZOE719 SPEI. BBVA MEXICO. 012730001921227313. PREMIER FRUTOS DEL CAMPO SA DE CV. 058-13/02/2026/13-055VZOE719. 1111111. F119785 119847_SPEI</t>
  </si>
  <si>
    <t>VZOE670 SPEI. SANTANDER. 014744655114104117. LIDIA ESPERANZA VALDEZ TORRECILLAS. 058-13/02/2026/13-055VZOE670. 1111111. F7141 7165 7186 7204 7220 7236_SPEI</t>
  </si>
  <si>
    <t>VZOE620 SPEI. BANORTE. 072580005876353544. AGROCHILEROS. 058-13/02/2026/13-055VZOE620. 1111111. F458588 458652 458690 458769 458843_SPEI</t>
  </si>
  <si>
    <t>VZOE732 SPEI. SANTANDER. 014580655110856306. BETULIA BRAND SOFT QUALUTY SA DE CV. 058-13/02/2026/13-055VZOE732. 1111111. F2622 2642 2659 2681 2701 2723_SPEI</t>
  </si>
  <si>
    <t>VZOE702 SPEI. SANTANDER. 014580655062831398. MASTER FRUT SA DE CV. 058-13/02/2026/13-055VZOE702. 1111111. F62232 62253 62281 62298 62325 62340_SPEI</t>
  </si>
  <si>
    <t>VZOE658 SPEI. BBVA MEXICO. 012650001956906417. HUGO GONZALEZ ORTIZ. 058-13/02/2026/13-055VZOE658. 1111111. F24082_SPEI</t>
  </si>
  <si>
    <t>VZOE709 SPEI. BBVA MEXICO. 012580004479898577. PLATANERAMA DE MONTERREY. S.A. DE C.V.. 058-13/02/2026/13-055VZOE709. 1111111. F137117 137165 137218 137268 137321 1373_SPEI</t>
  </si>
  <si>
    <t>(BE) Traspaso a cuenta: 058580100389800128. F15976_058580100389800128</t>
  </si>
  <si>
    <t>(BE) Traspaso a cuenta: 010030440019. F147666 147721_010030440019</t>
  </si>
  <si>
    <t>(BE) Traspaso a cuenta: 010840160012. F22019_010840160012</t>
  </si>
  <si>
    <t>(BE) Traspaso a cuenta: 010846140013. F42431 42468 42498_010846140013</t>
  </si>
  <si>
    <t>(BE) Traspaso a cuenta: 010021560010. F122751 122866_010021560010</t>
  </si>
  <si>
    <t>(BE) Traspaso a cuenta: 058580026545900124. F16644 16697 16676 16728 16743 16760 167_058580026545900124</t>
  </si>
  <si>
    <t>(BE) Traspaso a cuenta: 010858110012. F114258 114313 114468_010858110012</t>
  </si>
  <si>
    <t>(BE) Traspaso a cuenta: 058580100090600109. F238477 238511 238605 238749 238683_058580100090600109</t>
  </si>
  <si>
    <t>(BE) Traspaso a cuenta: 058580108684800126. FA988_058580108684800126</t>
  </si>
  <si>
    <t>DepÃ³sito en efectivo_mJZizOhRWJ</t>
  </si>
  <si>
    <t>VZPQ588 SPEI. SANTANDER. 014180655089201314. GASNGO MEXICO SA DE CV. 058-13/02/2026/13-055VZPQ588. 997252. FC00747210_SPEI</t>
  </si>
  <si>
    <t>Cobro de cheque:0000000007633_0007633</t>
  </si>
  <si>
    <t>Cobro de cheque:0000000007632_0007632</t>
  </si>
  <si>
    <t>(BE) Traspaso a cuenta: 058580428275900157. F3015_058580428275900157</t>
  </si>
  <si>
    <t>(BE) Traspaso a cuenta: 017659060019. F2019_017659060019</t>
  </si>
  <si>
    <t>(BE) Traspaso a cuenta: 003049230019. F175667_003049230019</t>
  </si>
  <si>
    <t>(BE) Traspaso a cuenta: 044935300018. F12C5 3EA2_044935300018</t>
  </si>
  <si>
    <t>(BE) Traspaso a cuenta: 007057750019. F42611_007057750019</t>
  </si>
  <si>
    <t>(BE) Traspaso a cuenta: 018018130013. F90057 90053_018018130013</t>
  </si>
  <si>
    <t>(BE) Traspaso a cuenta: 055003750018. F004565_055003750018</t>
  </si>
  <si>
    <t>(BE) Traspaso a cuenta: 055003760013. F000537_055003760013</t>
  </si>
  <si>
    <t>(BE) Traspaso a cuenta: 007010020012. F90797_007010020012</t>
  </si>
  <si>
    <t>(BE) Traspaso a cuenta: 007063240014. F002129_007063240014</t>
  </si>
  <si>
    <t>VZWY505 SPEI. BANORTE. 072580002399245802. JOSE SATURNINO TRISTAN SNACHEZ. 058-13/02/2026/13-055VZWY505. 1111111. F4555_SPEI</t>
  </si>
  <si>
    <t>VZWY570 SPEI. BANORTE. 072580011985554448. PRODUCTOS TRESAN. 058-13/02/2026/13-055VZWY570. 1111111. F8215_SPEI</t>
  </si>
  <si>
    <t>VZWY245 SPEI. SANTANDER. 014580655036661992. ALIMENTOS Y SAZONADORES REGIOS. 058-13/02/2026/13-055VZWY245. 1111111. F00570_SPEI</t>
  </si>
  <si>
    <t>VZWY333 SPEI. BBVA MEXICO. 012580029185624311. ANGELICA NOHEMI SILVA TORRES. 058-13/02/2026/13-055VZWY333. 1111111. F0572_SPEI</t>
  </si>
  <si>
    <t>VZWY217 SPEI. BANORTE. 072580001455640698. ALFONSO ENRIQUE BERNAL LEON. 058-13/02/2026/13-055VZWY217. 1111111. F5779_SPEI</t>
  </si>
  <si>
    <t>VZWY433 SPEI. BANORTE. 072580000595462520. DISTRIBUIDORA DE VERDURAS. S.A. DE C.V.. 058-13/02/2026/13-055VZWY433. 1111111. F99942_SPEI</t>
  </si>
  <si>
    <t>VZWY523 SPEI. BAJIO. 030580845235102020. OPERADORA INTERNACIONAL JH SA DE CV. 058-13/02/2026/13-055VZWY523. 1111111. F9163_SPEI</t>
  </si>
  <si>
    <t>VZWY350 SPEI. BBVA MEXICO. 012580001697892196. BRENDA GUADALUPE MONTELONGO CONCHA. 058-13/02/2026/13-055VZWY350. 1111111. F31573 31678_SPEI</t>
  </si>
  <si>
    <t>VZWY483 SPEI. SCOTIABANK. 044580256010037649. GUSTAVO VARGAS RODRIGUEZ. 058-13/02/2026/13-055VZWY483. 1111111. F4228_SPEI</t>
  </si>
  <si>
    <t>VZWY257 SPEI. HSBC. 021580040440327462. ANGEL MARIO GARZA SADA. 058-13/02/2026/13-055VZWY257. 1111111. F31345_SPEI</t>
  </si>
  <si>
    <t>VZWY407 SPEI. BANORTE. 072580002653108928. CECILIO ORTIZ LIZARRAGA. 058-13/02/2026/13-055VZWY407. 1111111. F21178_SPEI</t>
  </si>
  <si>
    <t>VZWY527 SPEI. BANAMEX. 002580701049546915. OSCAR JUAN MARTINEZ JIMENEZ. 058-13/02/2026/13-055VZWY527. 1111111. F4041_SPEI</t>
  </si>
  <si>
    <t>VZWY298 SPEI. SCOTIABANK. 044580256057862424. JOSE CARLOS ARROYO ARRIETA. 058-13/02/2026/13-055VZWY298. 1111111. FCEB2_SPEI</t>
  </si>
  <si>
    <t>VZWY356 SPEI. BANORTE. 072580011269577426. CANLINERS GROUP SA DE CV. 058-13/02/2026/13-055VZWY356. 1111111. F10941_SPEI</t>
  </si>
  <si>
    <t>VZWY496 SPEI. BANORTE. 072580001611525447. JESUS DELGADO CASTILLO. 058-13/02/2026/13-055VZWY496. 1111111. F1621_SPEI</t>
  </si>
  <si>
    <t>VZWY438 SPEI. BANORTE. 072580002672173060. GERARDO ALBA FRANCO. 058-13/02/2026/13-055VZWY438. 1111111. F2495_SPEI</t>
  </si>
  <si>
    <t>VZWY568 SPEI. BANAMEX. 002580433000030453. PRODUCTOS TOSTI GAR SA DE CV. 058-13/02/2026/13-055VZWY568. 1111111. F325359_SPEI</t>
  </si>
  <si>
    <t>VZWY321 SPEI. BANORTE. 072580001580760715. SISSA. 058-13/02/2026/13-055VZWY321. 1111111. F22794 23275_SPEI</t>
  </si>
  <si>
    <t>VZWY366 SPEI. BANORTE. 072601008906136232. CANALES DE PUERCO ALANIS. 058-13/02/2026/13-055VZWY366. 1111111. F58429_SPEI</t>
  </si>
  <si>
    <t>VZWY267 SPEI. BANORTE. 072580008827677726. SIGMA ALIMENTOS COMERCIAL SA DE CV. 058-13/02/2026/13-055VZWY267. 1111111. F8560359336 8560339033 8560364144 856036_SPEI</t>
  </si>
  <si>
    <t>VZWY275 SPEI. SANTANDER. 014580655060250638. MIRAESTELSFOODS S A DE CV. 058-13/02/2026/13-055VZWY275. 1111111. F8417_SPEI</t>
  </si>
  <si>
    <t>VZWY423 SPEI. BBVA MEXICO. 012180001854933667. COMERCIALIZADORA PEPSICO DE MEXICO S DE. 058-13/02/2026/13-055VZWY423. 1111111. F06454976_SPEI</t>
  </si>
  <si>
    <t>VZWY446 SPEI. BBVA MEXICO. 012076004838934133. GERARDO MARES GARCIA. 058-13/02/2026/13-055VZWY446. 1111111. F11222_SPEI</t>
  </si>
  <si>
    <t>VZWY415 SPEI. BAJIO. 030580900012652243. COMERCIALIZADORA DE POLLOS CISCO SA DE C. 058-13/02/2026/13-055VZWY415. 1111111. F53918_SPEI</t>
  </si>
  <si>
    <t>VZWY513 SPEI. BBVA MEXICO. 012535001476871684. OMEX ALIMENTARIA SA DE CV. 058-13/02/2026/13-055VZWY513. 1111111. F86377_SPEI</t>
  </si>
  <si>
    <t>VZWY206 SPEI. BBVA MEXICO. 012580004587649058. ALEJANDRO ZAMBRANO MORALES. 058-13/02/2026/13-055VZWY206. 1111111. F5238_SPEI</t>
  </si>
  <si>
    <t>VZWY394 SPEI. BANORTE. 072580006296301382. CATALINA XOCHIPILI DE LEON MARTINEZ. 058-13/02/2026/13-055VZWY394. 1111111. F6929_SPEI</t>
  </si>
  <si>
    <t>VZWY507 SPEI. AFIRME. 062580001071252726. MARCO ANTONIO TAMEZ CERVANTES. 058-13/02/2026/13-055VZWY507. 1111111. F16598_SPEI</t>
  </si>
  <si>
    <t>VZWY228 SPEI. BBVA MEXICO. 012580001167374047. ALIMENTOS REGIOMONTANOS PERCAM SA DE CV. 058-13/02/2026/13-055VZWY228. 1111111. F7722 7723_SPEI</t>
  </si>
  <si>
    <t>VZWY428 SPEI. SANTANDER. 014580655024856654. DESARROLLO DE ENGORDAS ESTABULADAS. SA D. 058-13/02/2026/13-055VZWY428. 1111111. F303912_SPEI</t>
  </si>
  <si>
    <t>VZWY489 SPEI. BANAMEX. 002580903688954067. ISAIAS ALFREDO RAMIREZ VILLARREAL. 058-13/02/2026/13-055VZWY489. 1111111. FE78E_SPEI</t>
  </si>
  <si>
    <t>VZWY341 SPEI. AFIRME. 062580001014089147. BOTANAS BOGOS SA DE CV. 058-13/02/2026/13-055VZWY341. 1111111. F127760_SPEI</t>
  </si>
  <si>
    <t>VZWY453 SPEI. BANORTE. 072580006413762322. GERMAN CABRERA GARZA. 058-13/02/2026/13-055VZWY453. 1111111. F4031 4032_SPEI</t>
  </si>
  <si>
    <t>VZWY556 SPEI. BBVA MEXICO. 012580004850794973. PAMELA TERESITA SALAS ALMAGUER. 058-13/02/2026/13-055VZWY556. 1111111. F668_SPEI</t>
  </si>
  <si>
    <t>VZWY307 SPEI. BANORTE. 072580012973541200. PANIFICADORA Y ALIMENTOS M3 SA DE CV. 058-13/02/2026/13-055VZWY307. 1111111. F69_SPEI</t>
  </si>
  <si>
    <t xml:space="preserve"> 16/02/2026 CASABLANCA FERRETERIA APODACA_4347983363118523-255028</t>
  </si>
  <si>
    <t>DepÃ³sito en efectivo_mJafm9gHRN</t>
  </si>
  <si>
    <t>DepÃ³sito en efectivo_mJag2N75t4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</si>
</sst>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0_-;\-&quot;$&quot;* #,##0.00_-;_-&quot;$&quot;* &quot;-&quot;??_-;_-@"/>
    <numFmt numFmtId="165" formatCode="#,##0.00_ ;[Red]\-#,##0.00\ "/>
    <numFmt numFmtId="166" formatCode="d/m/yyyy"/>
    <numFmt numFmtId="168" formatCode="&quot;$&quot;#,##0.000;[Red]\-&quot;$&quot;#,##0.000"/>
    <numFmt numFmtId="169" formatCode="_-[$$-80A]* #,##0.00_-;\-[$$-80A]* #,##0.00_-;_-[$$-80A]* &quot;-&quot;??_-;_-@_-"/>
  </numFmts>
  <fonts count="10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9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color theme="0"/>
      <name val="Calibri"/>
      <family val="2"/>
    </font>
    <font>
      <b/>
      <sz val="11"/>
      <color rgb="FFFF0000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sz val="9"/>
      <name val="Calibri"/>
      <family val="2"/>
    </font>
    <font>
      <b/>
      <sz val="24"/>
      <color theme="1"/>
      <name val="Calibri"/>
      <family val="2"/>
      <scheme val="minor"/>
    </font>
    <font>
      <sz val="11"/>
      <color theme="1"/>
      <name val="Calibri Light"/>
      <family val="2"/>
    </font>
    <font>
      <b/>
      <sz val="9"/>
      <color theme="0"/>
      <name val="Calibri Light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9"/>
      <color theme="1"/>
      <name val="Calibri"/>
      <family val="2"/>
      <scheme val="minor"/>
    </font>
    <font>
      <b/>
      <sz val="14"/>
      <color rgb="FF3366FF"/>
      <name val="Calibri"/>
      <family val="2"/>
    </font>
    <font>
      <sz val="14"/>
      <color rgb="FF3366FF"/>
      <name val="Calibri"/>
      <family val="2"/>
      <scheme val="minor"/>
    </font>
    <font>
      <sz val="14"/>
      <color rgb="FF3366FF"/>
      <name val="Calibri Light"/>
      <family val="2"/>
    </font>
    <font>
      <b/>
      <i/>
      <u/>
      <sz val="9"/>
      <color rgb="FF3366FF"/>
      <name val="Calibri Light"/>
      <family val="2"/>
    </font>
    <font>
      <sz val="11"/>
      <color rgb="FF3366FF"/>
      <name val="Calibri"/>
      <family val="2"/>
      <scheme val="minor"/>
    </font>
    <font>
      <b/>
      <sz val="9"/>
      <color rgb="FF3366FF"/>
      <name val="Calibri"/>
      <family val="2"/>
    </font>
    <font>
      <b/>
      <sz val="9"/>
      <color rgb="FF3366FF"/>
      <name val="Calibri Light"/>
      <family val="2"/>
    </font>
    <font>
      <b/>
      <sz val="11"/>
      <color rgb="FF3366FF"/>
      <name val="Calibri"/>
      <family val="2"/>
      <scheme val="minor"/>
    </font>
    <font>
      <b/>
      <sz val="10"/>
      <color rgb="FF3366FF"/>
      <name val="Calibri"/>
      <family val="2"/>
    </font>
    <font>
      <b/>
      <sz val="10"/>
      <color rgb="FF3366FF"/>
      <name val="Calibri"/>
      <family val="2"/>
      <scheme val="minor"/>
    </font>
    <font>
      <b/>
      <sz val="20"/>
      <color rgb="FF3366FF"/>
      <name val="Calibri"/>
      <family val="2"/>
    </font>
    <font>
      <sz val="20"/>
      <color rgb="FF3366FF"/>
      <name val="Calibri"/>
      <family val="2"/>
      <scheme val="minor"/>
    </font>
    <font>
      <sz val="20"/>
      <color rgb="FF3366FF"/>
      <name val="Calibri Light"/>
      <family val="2"/>
    </font>
    <font>
      <b/>
      <sz val="12"/>
      <color rgb="FF001148"/>
      <name val="Calibri"/>
      <family val="2"/>
      <scheme val="minor"/>
    </font>
    <font>
      <sz val="10"/>
      <color rgb="FFC00000"/>
      <name val="Calibri"/>
      <family val="2"/>
    </font>
    <font>
      <sz val="10"/>
      <name val="Arial"/>
      <family val="2"/>
    </font>
    <font>
      <b/>
      <sz val="9"/>
      <color rgb="FFC00000"/>
      <name val="Calibri"/>
      <family val="2"/>
    </font>
    <font>
      <b/>
      <sz val="9"/>
      <name val="Calibri"/>
      <family val="2"/>
    </font>
    <font>
      <i/>
      <sz val="10"/>
      <color theme="1"/>
      <name val="Calibri"/>
      <family val="2"/>
    </font>
    <font>
      <i/>
      <sz val="10"/>
      <color rgb="FFFF0000"/>
      <name val="Calibri"/>
      <family val="2"/>
    </font>
    <font>
      <i/>
      <sz val="10"/>
      <color theme="8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ajor"/>
    </font>
    <font>
      <b/>
      <sz val="11"/>
      <color theme="0"/>
      <name val="Calibri"/>
      <family val="2"/>
      <scheme val="minor"/>
    </font>
    <font>
      <b/>
      <sz val="10"/>
      <color rgb="FF3366FF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1"/>
      <color rgb="FF3366FF"/>
      <name val="Calibri"/>
      <family val="2"/>
    </font>
    <font>
      <b/>
      <i/>
      <u/>
      <sz val="11"/>
      <color rgb="FF3366FF"/>
      <name val="Calibri Light"/>
      <family val="2"/>
    </font>
    <font>
      <b/>
      <sz val="18"/>
      <color rgb="FF3366FF"/>
      <name val="Calibri"/>
      <family val="2"/>
    </font>
    <font>
      <sz val="18"/>
      <color rgb="FF3366FF"/>
      <name val="Calibri"/>
      <family val="2"/>
      <scheme val="minor"/>
    </font>
    <font>
      <sz val="18"/>
      <color rgb="FF3366FF"/>
      <name val="Calibri Light"/>
      <family val="2"/>
    </font>
    <font>
      <b/>
      <sz val="11"/>
      <color rgb="FF001148"/>
      <name val="Calibri"/>
      <family val="2"/>
      <scheme val="minor"/>
    </font>
    <font>
      <sz val="9"/>
      <color theme="0"/>
      <name val="Calibri Light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C9FF"/>
        <bgColor rgb="FFFFC9FF"/>
      </patternFill>
    </fill>
    <fill>
      <patternFill patternType="solid">
        <fgColor rgb="FF7030A0"/>
        <bgColor rgb="FF7030A0"/>
      </patternFill>
    </fill>
    <fill>
      <patternFill patternType="solid">
        <fgColor rgb="FFD0CECE"/>
        <bgColor rgb="FFD0CECE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rgb="FFFF9933"/>
        <bgColor rgb="FFFF9933"/>
      </patternFill>
    </fill>
    <fill>
      <patternFill patternType="solid">
        <fgColor rgb="FFD8D8D8"/>
        <bgColor rgb="FFD8D8D8"/>
      </patternFill>
    </fill>
    <fill>
      <patternFill patternType="solid">
        <fgColor rgb="FF00FF99"/>
        <bgColor indexed="64"/>
      </patternFill>
    </fill>
    <fill>
      <patternFill patternType="solid">
        <fgColor theme="2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 style="double">
        <color rgb="FFFF0000"/>
      </right>
      <top/>
      <bottom style="thick">
        <color rgb="FFFF0000"/>
      </bottom>
      <diagonal/>
    </border>
  </borders>
  <cellStyleXfs count="8">
    <xf numFmtId="0" fontId="0" fillId="0" borderId="0"/>
    <xf numFmtId="44" fontId="37" fillId="0" borderId="0" applyFont="0" applyFill="0" applyBorder="0" applyAlignment="0" applyProtection="0"/>
    <xf numFmtId="0" fontId="29" fillId="0" borderId="6"/>
    <xf numFmtId="44" fontId="29" fillId="0" borderId="6" applyFont="0" applyFill="0" applyBorder="0" applyAlignment="0" applyProtection="0"/>
    <xf numFmtId="0" fontId="28" fillId="0" borderId="6"/>
    <xf numFmtId="44" fontId="28" fillId="0" borderId="6" applyFont="0" applyFill="0" applyBorder="0" applyAlignment="0" applyProtection="0"/>
    <xf numFmtId="43" fontId="87" fillId="0" borderId="0" applyFont="0" applyFill="0" applyBorder="0" applyAlignment="0" applyProtection="0"/>
    <xf numFmtId="0" fontId="80" fillId="0" borderId="6"/>
  </cellStyleXfs>
  <cellXfs count="337">
    <xf numFmtId="0" fontId="0" fillId="0" borderId="0" xfId="0"/>
    <xf numFmtId="0" fontId="33" fillId="0" borderId="0" xfId="0" applyFont="1"/>
    <xf numFmtId="0" fontId="34" fillId="0" borderId="0" xfId="0" applyFont="1"/>
    <xf numFmtId="166" fontId="36" fillId="0" borderId="0" xfId="0" applyNumberFormat="1" applyFont="1"/>
    <xf numFmtId="0" fontId="37" fillId="0" borderId="0" xfId="0" applyFont="1"/>
    <xf numFmtId="8" fontId="38" fillId="3" borderId="1" xfId="0" applyNumberFormat="1" applyFont="1" applyFill="1" applyBorder="1"/>
    <xf numFmtId="165" fontId="34" fillId="0" borderId="0" xfId="0" applyNumberFormat="1" applyFont="1"/>
    <xf numFmtId="8" fontId="39" fillId="4" borderId="1" xfId="0" applyNumberFormat="1" applyFont="1" applyFill="1" applyBorder="1"/>
    <xf numFmtId="8" fontId="36" fillId="0" borderId="0" xfId="0" applyNumberFormat="1" applyFont="1"/>
    <xf numFmtId="0" fontId="36" fillId="5" borderId="1" xfId="0" applyFont="1" applyFill="1" applyBorder="1"/>
    <xf numFmtId="8" fontId="38" fillId="0" borderId="0" xfId="0" applyNumberFormat="1" applyFont="1"/>
    <xf numFmtId="0" fontId="34" fillId="0" borderId="0" xfId="0" applyFont="1" applyAlignment="1">
      <alignment horizontal="center"/>
    </xf>
    <xf numFmtId="165" fontId="40" fillId="0" borderId="2" xfId="0" applyNumberFormat="1" applyFont="1" applyBorder="1"/>
    <xf numFmtId="8" fontId="38" fillId="5" borderId="1" xfId="0" applyNumberFormat="1" applyFont="1" applyFill="1" applyBorder="1"/>
    <xf numFmtId="0" fontId="38" fillId="0" borderId="0" xfId="0" applyFont="1"/>
    <xf numFmtId="0" fontId="38" fillId="8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vertical="center" wrapText="1"/>
    </xf>
    <xf numFmtId="8" fontId="36" fillId="9" borderId="1" xfId="0" applyNumberFormat="1" applyFont="1" applyFill="1" applyBorder="1"/>
    <xf numFmtId="164" fontId="38" fillId="3" borderId="1" xfId="0" applyNumberFormat="1" applyFont="1" applyFill="1" applyBorder="1"/>
    <xf numFmtId="0" fontId="36" fillId="10" borderId="1" xfId="0" applyFont="1" applyFill="1" applyBorder="1"/>
    <xf numFmtId="8" fontId="38" fillId="10" borderId="1" xfId="0" applyNumberFormat="1" applyFont="1" applyFill="1" applyBorder="1"/>
    <xf numFmtId="0" fontId="45" fillId="0" borderId="0" xfId="0" applyFont="1"/>
    <xf numFmtId="8" fontId="45" fillId="0" borderId="0" xfId="0" applyNumberFormat="1" applyFont="1"/>
    <xf numFmtId="0" fontId="46" fillId="0" borderId="0" xfId="0" applyFont="1"/>
    <xf numFmtId="164" fontId="38" fillId="7" borderId="1" xfId="0" applyNumberFormat="1" applyFont="1" applyFill="1" applyBorder="1"/>
    <xf numFmtId="164" fontId="38" fillId="0" borderId="0" xfId="0" applyNumberFormat="1" applyFont="1"/>
    <xf numFmtId="164" fontId="47" fillId="0" borderId="3" xfId="0" applyNumberFormat="1" applyFont="1" applyBorder="1"/>
    <xf numFmtId="0" fontId="48" fillId="0" borderId="0" xfId="0" applyFont="1"/>
    <xf numFmtId="8" fontId="0" fillId="0" borderId="0" xfId="0" applyNumberFormat="1"/>
    <xf numFmtId="166" fontId="49" fillId="0" borderId="0" xfId="0" applyNumberFormat="1" applyFont="1"/>
    <xf numFmtId="0" fontId="30" fillId="0" borderId="0" xfId="0" applyFont="1"/>
    <xf numFmtId="0" fontId="52" fillId="0" borderId="0" xfId="0" applyFont="1" applyAlignment="1">
      <alignment horizontal="center"/>
    </xf>
    <xf numFmtId="0" fontId="33" fillId="0" borderId="6" xfId="2" applyFont="1"/>
    <xf numFmtId="165" fontId="33" fillId="0" borderId="6" xfId="2" applyNumberFormat="1" applyFont="1"/>
    <xf numFmtId="0" fontId="33" fillId="0" borderId="6" xfId="2" applyFont="1" applyAlignment="1">
      <alignment horizontal="right"/>
    </xf>
    <xf numFmtId="0" fontId="29" fillId="0" borderId="6" xfId="2"/>
    <xf numFmtId="0" fontId="34" fillId="0" borderId="6" xfId="2" applyFont="1"/>
    <xf numFmtId="0" fontId="33" fillId="0" borderId="6" xfId="4" applyFont="1"/>
    <xf numFmtId="164" fontId="33" fillId="0" borderId="6" xfId="4" applyNumberFormat="1" applyFont="1"/>
    <xf numFmtId="0" fontId="28" fillId="0" borderId="6" xfId="4"/>
    <xf numFmtId="16" fontId="34" fillId="0" borderId="6" xfId="4" applyNumberFormat="1" applyFont="1"/>
    <xf numFmtId="165" fontId="33" fillId="0" borderId="6" xfId="4" applyNumberFormat="1" applyFont="1"/>
    <xf numFmtId="0" fontId="34" fillId="0" borderId="6" xfId="4" applyFont="1"/>
    <xf numFmtId="165" fontId="34" fillId="0" borderId="6" xfId="4" applyNumberFormat="1" applyFont="1"/>
    <xf numFmtId="0" fontId="53" fillId="0" borderId="6" xfId="4" applyFont="1"/>
    <xf numFmtId="165" fontId="31" fillId="0" borderId="6" xfId="2" applyNumberFormat="1" applyFont="1"/>
    <xf numFmtId="8" fontId="31" fillId="0" borderId="6" xfId="1" applyNumberFormat="1" applyFont="1" applyFill="1" applyBorder="1"/>
    <xf numFmtId="165" fontId="40" fillId="11" borderId="2" xfId="0" applyNumberFormat="1" applyFont="1" applyFill="1" applyBorder="1"/>
    <xf numFmtId="14" fontId="0" fillId="0" borderId="0" xfId="0" applyNumberFormat="1"/>
    <xf numFmtId="0" fontId="62" fillId="0" borderId="6" xfId="4" applyFont="1"/>
    <xf numFmtId="0" fontId="63" fillId="0" borderId="6" xfId="4" applyFont="1"/>
    <xf numFmtId="0" fontId="70" fillId="0" borderId="6" xfId="4" applyFont="1"/>
    <xf numFmtId="165" fontId="73" fillId="0" borderId="6" xfId="4" applyNumberFormat="1" applyFont="1"/>
    <xf numFmtId="14" fontId="49" fillId="0" borderId="0" xfId="0" applyNumberFormat="1" applyFont="1"/>
    <xf numFmtId="0" fontId="70" fillId="0" borderId="12" xfId="4" applyFont="1" applyBorder="1"/>
    <xf numFmtId="8" fontId="72" fillId="0" borderId="13" xfId="0" applyNumberFormat="1" applyFont="1" applyBorder="1"/>
    <xf numFmtId="0" fontId="70" fillId="0" borderId="14" xfId="4" applyFont="1" applyBorder="1"/>
    <xf numFmtId="0" fontId="33" fillId="0" borderId="15" xfId="4" applyFont="1" applyBorder="1"/>
    <xf numFmtId="165" fontId="33" fillId="0" borderId="15" xfId="4" applyNumberFormat="1" applyFont="1" applyBorder="1"/>
    <xf numFmtId="165" fontId="71" fillId="0" borderId="15" xfId="4" applyNumberFormat="1" applyFont="1" applyBorder="1"/>
    <xf numFmtId="165" fontId="73" fillId="0" borderId="16" xfId="4" applyNumberFormat="1" applyFont="1" applyBorder="1"/>
    <xf numFmtId="165" fontId="31" fillId="12" borderId="6" xfId="2" applyNumberFormat="1" applyFont="1" applyFill="1"/>
    <xf numFmtId="165" fontId="81" fillId="0" borderId="6" xfId="2" applyNumberFormat="1" applyFont="1"/>
    <xf numFmtId="0" fontId="83" fillId="0" borderId="6" xfId="4" applyFont="1"/>
    <xf numFmtId="0" fontId="84" fillId="0" borderId="6" xfId="4" applyFont="1"/>
    <xf numFmtId="0" fontId="85" fillId="0" borderId="6" xfId="4" applyFont="1" applyAlignment="1">
      <alignment horizontal="right"/>
    </xf>
    <xf numFmtId="2" fontId="31" fillId="0" borderId="6" xfId="2" applyNumberFormat="1" applyFont="1"/>
    <xf numFmtId="44" fontId="31" fillId="0" borderId="6" xfId="1" applyFont="1" applyFill="1" applyBorder="1"/>
    <xf numFmtId="16" fontId="31" fillId="0" borderId="6" xfId="2" applyNumberFormat="1" applyFont="1"/>
    <xf numFmtId="16" fontId="82" fillId="0" borderId="6" xfId="2" applyNumberFormat="1" applyFont="1"/>
    <xf numFmtId="8" fontId="29" fillId="0" borderId="6" xfId="1" applyNumberFormat="1" applyFont="1" applyFill="1" applyBorder="1"/>
    <xf numFmtId="168" fontId="33" fillId="0" borderId="6" xfId="6" applyNumberFormat="1" applyFont="1" applyFill="1" applyBorder="1"/>
    <xf numFmtId="44" fontId="38" fillId="0" borderId="6" xfId="1" applyFont="1" applyFill="1" applyBorder="1"/>
    <xf numFmtId="164" fontId="91" fillId="0" borderId="6" xfId="4" applyNumberFormat="1" applyFont="1"/>
    <xf numFmtId="44" fontId="83" fillId="0" borderId="6" xfId="4" applyNumberFormat="1" applyFont="1"/>
    <xf numFmtId="0" fontId="92" fillId="0" borderId="6" xfId="4" applyFont="1"/>
    <xf numFmtId="0" fontId="40" fillId="0" borderId="6" xfId="4" applyFont="1"/>
    <xf numFmtId="44" fontId="57" fillId="0" borderId="6" xfId="1" applyFont="1" applyFill="1" applyBorder="1"/>
    <xf numFmtId="44" fontId="90" fillId="0" borderId="6" xfId="1" applyFont="1" applyFill="1" applyBorder="1"/>
    <xf numFmtId="44" fontId="36" fillId="0" borderId="6" xfId="1" applyFont="1" applyFill="1" applyBorder="1"/>
    <xf numFmtId="168" fontId="36" fillId="0" borderId="6" xfId="6" applyNumberFormat="1" applyFont="1" applyFill="1" applyBorder="1"/>
    <xf numFmtId="8" fontId="38" fillId="0" borderId="6" xfId="1" applyNumberFormat="1" applyFont="1" applyFill="1" applyBorder="1"/>
    <xf numFmtId="44" fontId="29" fillId="0" borderId="6" xfId="1" applyFont="1" applyFill="1" applyBorder="1"/>
    <xf numFmtId="2" fontId="34" fillId="0" borderId="6" xfId="4" applyNumberFormat="1" applyFont="1"/>
    <xf numFmtId="44" fontId="34" fillId="0" borderId="6" xfId="4" applyNumberFormat="1" applyFont="1"/>
    <xf numFmtId="49" fontId="34" fillId="0" borderId="6" xfId="4" applyNumberFormat="1" applyFont="1"/>
    <xf numFmtId="16" fontId="33" fillId="0" borderId="6" xfId="4" applyNumberFormat="1" applyFont="1"/>
    <xf numFmtId="2" fontId="33" fillId="0" borderId="6" xfId="4" applyNumberFormat="1" applyFont="1"/>
    <xf numFmtId="0" fontId="55" fillId="0" borderId="6" xfId="4" applyFont="1"/>
    <xf numFmtId="0" fontId="16" fillId="0" borderId="6" xfId="4" applyFont="1"/>
    <xf numFmtId="168" fontId="38" fillId="0" borderId="6" xfId="6" applyNumberFormat="1" applyFont="1" applyFill="1" applyBorder="1"/>
    <xf numFmtId="8" fontId="60" fillId="0" borderId="6" xfId="0" applyNumberFormat="1" applyFont="1" applyBorder="1"/>
    <xf numFmtId="8" fontId="0" fillId="0" borderId="6" xfId="0" applyNumberFormat="1" applyBorder="1"/>
    <xf numFmtId="169" fontId="38" fillId="0" borderId="6" xfId="1" applyNumberFormat="1" applyFont="1" applyFill="1" applyBorder="1"/>
    <xf numFmtId="169" fontId="90" fillId="0" borderId="6" xfId="1" applyNumberFormat="1" applyFont="1" applyFill="1" applyBorder="1"/>
    <xf numFmtId="0" fontId="35" fillId="2" borderId="18" xfId="4" applyFont="1" applyFill="1" applyBorder="1" applyAlignment="1">
      <alignment horizontal="center"/>
    </xf>
    <xf numFmtId="165" fontId="35" fillId="2" borderId="18" xfId="4" applyNumberFormat="1" applyFont="1" applyFill="1" applyBorder="1" applyAlignment="1">
      <alignment horizontal="center"/>
    </xf>
    <xf numFmtId="165" fontId="54" fillId="2" borderId="18" xfId="4" applyNumberFormat="1" applyFont="1" applyFill="1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8" fontId="57" fillId="0" borderId="6" xfId="0" applyNumberFormat="1" applyFont="1" applyBorder="1"/>
    <xf numFmtId="16" fontId="19" fillId="0" borderId="6" xfId="4" applyNumberFormat="1" applyFont="1"/>
    <xf numFmtId="164" fontId="34" fillId="0" borderId="6" xfId="4" applyNumberFormat="1" applyFont="1"/>
    <xf numFmtId="0" fontId="31" fillId="0" borderId="6" xfId="2" applyFont="1"/>
    <xf numFmtId="16" fontId="9" fillId="0" borderId="6" xfId="4" applyNumberFormat="1" applyFont="1"/>
    <xf numFmtId="0" fontId="9" fillId="0" borderId="6" xfId="0" applyFont="1" applyBorder="1"/>
    <xf numFmtId="16" fontId="33" fillId="0" borderId="6" xfId="2" applyNumberFormat="1" applyFont="1"/>
    <xf numFmtId="44" fontId="9" fillId="0" borderId="6" xfId="1" applyFont="1" applyFill="1" applyBorder="1"/>
    <xf numFmtId="16" fontId="90" fillId="0" borderId="6" xfId="2" applyNumberFormat="1" applyFont="1"/>
    <xf numFmtId="2" fontId="36" fillId="0" borderId="6" xfId="2" applyNumberFormat="1" applyFont="1"/>
    <xf numFmtId="165" fontId="36" fillId="0" borderId="6" xfId="2" applyNumberFormat="1" applyFont="1"/>
    <xf numFmtId="1" fontId="36" fillId="0" borderId="6" xfId="2" applyNumberFormat="1" applyFont="1" applyAlignment="1">
      <alignment horizontal="right"/>
    </xf>
    <xf numFmtId="2" fontId="38" fillId="0" borderId="6" xfId="2" applyNumberFormat="1" applyFont="1"/>
    <xf numFmtId="0" fontId="36" fillId="0" borderId="6" xfId="2" applyFont="1" applyAlignment="1">
      <alignment horizontal="right"/>
    </xf>
    <xf numFmtId="44" fontId="89" fillId="0" borderId="6" xfId="1" applyFont="1" applyFill="1" applyBorder="1"/>
    <xf numFmtId="0" fontId="49" fillId="0" borderId="6" xfId="2" applyFont="1"/>
    <xf numFmtId="8" fontId="89" fillId="0" borderId="6" xfId="0" applyNumberFormat="1" applyFont="1" applyBorder="1"/>
    <xf numFmtId="0" fontId="34" fillId="0" borderId="6" xfId="0" applyFont="1" applyBorder="1"/>
    <xf numFmtId="0" fontId="88" fillId="0" borderId="6" xfId="0" applyFont="1" applyBorder="1"/>
    <xf numFmtId="14" fontId="49" fillId="0" borderId="6" xfId="0" applyNumberFormat="1" applyFont="1" applyBorder="1"/>
    <xf numFmtId="164" fontId="83" fillId="0" borderId="6" xfId="4" applyNumberFormat="1" applyFont="1"/>
    <xf numFmtId="0" fontId="91" fillId="0" borderId="6" xfId="2" applyFont="1"/>
    <xf numFmtId="44" fontId="50" fillId="0" borderId="6" xfId="1" applyFont="1" applyFill="1" applyBorder="1"/>
    <xf numFmtId="0" fontId="93" fillId="0" borderId="6" xfId="4" applyFont="1"/>
    <xf numFmtId="44" fontId="0" fillId="0" borderId="0" xfId="1" applyFont="1"/>
    <xf numFmtId="44" fontId="57" fillId="0" borderId="6" xfId="1" applyFont="1" applyBorder="1"/>
    <xf numFmtId="44" fontId="0" fillId="0" borderId="6" xfId="1" applyFont="1" applyBorder="1"/>
    <xf numFmtId="44" fontId="57" fillId="0" borderId="0" xfId="1" applyFont="1"/>
    <xf numFmtId="44" fontId="28" fillId="0" borderId="6" xfId="1" applyFont="1" applyBorder="1"/>
    <xf numFmtId="44" fontId="53" fillId="0" borderId="6" xfId="1" applyFont="1" applyBorder="1"/>
    <xf numFmtId="0" fontId="98" fillId="0" borderId="12" xfId="4" applyFont="1" applyBorder="1"/>
    <xf numFmtId="0" fontId="48" fillId="0" borderId="6" xfId="4" applyFont="1"/>
    <xf numFmtId="0" fontId="98" fillId="0" borderId="14" xfId="4" applyFont="1" applyBorder="1"/>
    <xf numFmtId="0" fontId="48" fillId="0" borderId="15" xfId="4" applyFont="1" applyBorder="1"/>
    <xf numFmtId="0" fontId="99" fillId="2" borderId="18" xfId="4" applyFont="1" applyFill="1" applyBorder="1" applyAlignment="1">
      <alignment horizontal="center"/>
    </xf>
    <xf numFmtId="14" fontId="48" fillId="0" borderId="0" xfId="0" applyNumberFormat="1" applyFont="1"/>
    <xf numFmtId="0" fontId="100" fillId="0" borderId="0" xfId="0" applyFont="1" applyAlignment="1">
      <alignment horizontal="right"/>
    </xf>
    <xf numFmtId="165" fontId="39" fillId="2" borderId="18" xfId="4" applyNumberFormat="1" applyFont="1" applyFill="1" applyBorder="1" applyAlignment="1">
      <alignment horizontal="center"/>
    </xf>
    <xf numFmtId="165" fontId="36" fillId="0" borderId="6" xfId="4" applyNumberFormat="1" applyFont="1"/>
    <xf numFmtId="0" fontId="36" fillId="0" borderId="0" xfId="0" applyFont="1"/>
    <xf numFmtId="0" fontId="5" fillId="0" borderId="0" xfId="0" applyFont="1"/>
    <xf numFmtId="44" fontId="31" fillId="0" borderId="6" xfId="1" applyFont="1" applyBorder="1"/>
    <xf numFmtId="44" fontId="33" fillId="0" borderId="6" xfId="1" applyFont="1" applyBorder="1"/>
    <xf numFmtId="44" fontId="71" fillId="0" borderId="6" xfId="1" applyFont="1" applyBorder="1"/>
    <xf numFmtId="44" fontId="54" fillId="2" borderId="18" xfId="1" applyFont="1" applyFill="1" applyBorder="1" applyAlignment="1">
      <alignment horizontal="center"/>
    </xf>
    <xf numFmtId="44" fontId="35" fillId="2" borderId="18" xfId="1" applyFont="1" applyFill="1" applyBorder="1" applyAlignment="1">
      <alignment horizontal="center"/>
    </xf>
    <xf numFmtId="44" fontId="55" fillId="0" borderId="6" xfId="1" applyFont="1" applyBorder="1"/>
    <xf numFmtId="44" fontId="34" fillId="0" borderId="6" xfId="1" applyFont="1" applyBorder="1"/>
    <xf numFmtId="44" fontId="40" fillId="0" borderId="2" xfId="1" applyFont="1" applyBorder="1"/>
    <xf numFmtId="44" fontId="34" fillId="0" borderId="0" xfId="1" applyFont="1"/>
    <xf numFmtId="44" fontId="40" fillId="11" borderId="2" xfId="1" applyFont="1" applyFill="1" applyBorder="1"/>
    <xf numFmtId="44" fontId="22" fillId="0" borderId="6" xfId="1" applyFont="1" applyBorder="1"/>
    <xf numFmtId="0" fontId="5" fillId="0" borderId="6" xfId="4" applyFont="1"/>
    <xf numFmtId="0" fontId="70" fillId="0" borderId="9" xfId="4" applyFont="1" applyBorder="1"/>
    <xf numFmtId="0" fontId="33" fillId="0" borderId="10" xfId="4" applyFont="1" applyBorder="1"/>
    <xf numFmtId="165" fontId="31" fillId="0" borderId="10" xfId="4" applyNumberFormat="1" applyFont="1" applyBorder="1"/>
    <xf numFmtId="0" fontId="33" fillId="0" borderId="6" xfId="4" applyFont="1" applyBorder="1"/>
    <xf numFmtId="165" fontId="33" fillId="0" borderId="6" xfId="4" applyNumberFormat="1" applyFont="1" applyBorder="1"/>
    <xf numFmtId="165" fontId="71" fillId="0" borderId="6" xfId="4" applyNumberFormat="1" applyFont="1" applyBorder="1"/>
    <xf numFmtId="165" fontId="101" fillId="0" borderId="16" xfId="4" applyNumberFormat="1" applyFont="1" applyBorder="1"/>
    <xf numFmtId="0" fontId="48" fillId="0" borderId="6" xfId="4" applyFont="1" applyBorder="1"/>
    <xf numFmtId="165" fontId="31" fillId="0" borderId="6" xfId="4" applyNumberFormat="1" applyFont="1" applyBorder="1"/>
    <xf numFmtId="0" fontId="35" fillId="2" borderId="19" xfId="4" applyFont="1" applyFill="1" applyBorder="1" applyAlignment="1">
      <alignment horizontal="center"/>
    </xf>
    <xf numFmtId="165" fontId="35" fillId="2" borderId="19" xfId="4" applyNumberFormat="1" applyFont="1" applyFill="1" applyBorder="1" applyAlignment="1">
      <alignment horizontal="center"/>
    </xf>
    <xf numFmtId="165" fontId="54" fillId="2" borderId="19" xfId="4" applyNumberFormat="1" applyFont="1" applyFill="1" applyBorder="1" applyAlignment="1">
      <alignment horizontal="center"/>
    </xf>
    <xf numFmtId="16" fontId="5" fillId="0" borderId="6" xfId="4" applyNumberFormat="1" applyFont="1"/>
    <xf numFmtId="8" fontId="0" fillId="0" borderId="0" xfId="0" applyNumberFormat="1" applyFill="1"/>
    <xf numFmtId="0" fontId="0" fillId="0" borderId="0" xfId="0" applyFill="1"/>
    <xf numFmtId="0" fontId="0" fillId="0" borderId="9" xfId="0" applyBorder="1"/>
    <xf numFmtId="8" fontId="74" fillId="0" borderId="13" xfId="0" applyNumberFormat="1" applyFont="1" applyBorder="1"/>
    <xf numFmtId="16" fontId="34" fillId="0" borderId="6" xfId="4" applyNumberFormat="1" applyFont="1" applyFill="1"/>
    <xf numFmtId="0" fontId="34" fillId="0" borderId="6" xfId="4" applyFont="1" applyFill="1"/>
    <xf numFmtId="14" fontId="0" fillId="0" borderId="0" xfId="0" applyNumberFormat="1" applyFill="1"/>
    <xf numFmtId="165" fontId="34" fillId="0" borderId="6" xfId="4" applyNumberFormat="1" applyFont="1" applyFill="1"/>
    <xf numFmtId="8" fontId="28" fillId="0" borderId="6" xfId="4" applyNumberFormat="1" applyFill="1"/>
    <xf numFmtId="0" fontId="83" fillId="0" borderId="6" xfId="4" applyFont="1" applyFill="1"/>
    <xf numFmtId="0" fontId="28" fillId="0" borderId="6" xfId="4" applyFill="1"/>
    <xf numFmtId="16" fontId="6" fillId="0" borderId="6" xfId="4" applyNumberFormat="1" applyFont="1" applyFill="1"/>
    <xf numFmtId="165" fontId="33" fillId="0" borderId="6" xfId="2" applyNumberFormat="1" applyFont="1" applyFill="1"/>
    <xf numFmtId="0" fontId="33" fillId="0" borderId="6" xfId="2" applyFont="1" applyFill="1" applyAlignment="1">
      <alignment horizontal="right"/>
    </xf>
    <xf numFmtId="165" fontId="36" fillId="0" borderId="6" xfId="2" applyNumberFormat="1" applyFont="1" applyFill="1"/>
    <xf numFmtId="0" fontId="6" fillId="0" borderId="0" xfId="0" applyFont="1" applyFill="1"/>
    <xf numFmtId="0" fontId="29" fillId="0" borderId="6" xfId="2" applyFill="1"/>
    <xf numFmtId="0" fontId="4" fillId="0" borderId="6" xfId="2" applyFont="1" applyFill="1"/>
    <xf numFmtId="0" fontId="0" fillId="0" borderId="0" xfId="0"/>
    <xf numFmtId="0" fontId="0" fillId="0" borderId="0" xfId="0"/>
    <xf numFmtId="0" fontId="5" fillId="0" borderId="6" xfId="4" applyFont="1" applyFill="1"/>
    <xf numFmtId="0" fontId="33" fillId="0" borderId="6" xfId="2" applyFont="1" applyFill="1"/>
    <xf numFmtId="0" fontId="33" fillId="0" borderId="6" xfId="4" applyFont="1" applyFill="1"/>
    <xf numFmtId="8" fontId="34" fillId="0" borderId="6" xfId="4" applyNumberFormat="1" applyFont="1" applyFill="1"/>
    <xf numFmtId="8" fontId="79" fillId="0" borderId="6" xfId="4" applyNumberFormat="1" applyFont="1" applyFill="1"/>
    <xf numFmtId="0" fontId="27" fillId="0" borderId="6" xfId="4" applyFont="1" applyFill="1"/>
    <xf numFmtId="16" fontId="24" fillId="0" borderId="6" xfId="4" applyNumberFormat="1" applyFont="1" applyFill="1"/>
    <xf numFmtId="0" fontId="31" fillId="0" borderId="6" xfId="2" applyFont="1" applyFill="1"/>
    <xf numFmtId="0" fontId="84" fillId="0" borderId="6" xfId="4" applyFont="1" applyFill="1"/>
    <xf numFmtId="16" fontId="28" fillId="0" borderId="6" xfId="4" applyNumberFormat="1" applyFill="1"/>
    <xf numFmtId="2" fontId="34" fillId="0" borderId="6" xfId="4" applyNumberFormat="1" applyFont="1" applyFill="1"/>
    <xf numFmtId="8" fontId="56" fillId="0" borderId="6" xfId="4" applyNumberFormat="1" applyFont="1" applyFill="1"/>
    <xf numFmtId="0" fontId="56" fillId="0" borderId="6" xfId="4" applyFont="1" applyFill="1"/>
    <xf numFmtId="0" fontId="18" fillId="0" borderId="6" xfId="4" applyFont="1" applyFill="1"/>
    <xf numFmtId="44" fontId="34" fillId="0" borderId="6" xfId="4" applyNumberFormat="1" applyFont="1" applyFill="1"/>
    <xf numFmtId="16" fontId="82" fillId="0" borderId="6" xfId="2" applyNumberFormat="1" applyFont="1" applyFill="1"/>
    <xf numFmtId="2" fontId="31" fillId="0" borderId="6" xfId="2" applyNumberFormat="1" applyFont="1" applyFill="1"/>
    <xf numFmtId="0" fontId="40" fillId="0" borderId="6" xfId="4" applyFont="1" applyFill="1"/>
    <xf numFmtId="16" fontId="32" fillId="0" borderId="6" xfId="2" applyNumberFormat="1" applyFont="1" applyFill="1"/>
    <xf numFmtId="0" fontId="85" fillId="0" borderId="6" xfId="4" applyFont="1" applyFill="1"/>
    <xf numFmtId="49" fontId="34" fillId="0" borderId="6" xfId="4" applyNumberFormat="1" applyFont="1" applyFill="1"/>
    <xf numFmtId="8" fontId="57" fillId="0" borderId="0" xfId="0" applyNumberFormat="1" applyFont="1" applyFill="1"/>
    <xf numFmtId="16" fontId="90" fillId="0" borderId="6" xfId="2" applyNumberFormat="1" applyFont="1" applyFill="1"/>
    <xf numFmtId="2" fontId="38" fillId="0" borderId="6" xfId="2" applyNumberFormat="1" applyFont="1" applyFill="1"/>
    <xf numFmtId="0" fontId="38" fillId="0" borderId="6" xfId="4" applyFont="1" applyFill="1"/>
    <xf numFmtId="0" fontId="85" fillId="0" borderId="6" xfId="4" applyFont="1" applyFill="1" applyAlignment="1">
      <alignment horizontal="right"/>
    </xf>
    <xf numFmtId="8" fontId="40" fillId="0" borderId="6" xfId="4" applyNumberFormat="1" applyFont="1" applyFill="1"/>
    <xf numFmtId="16" fontId="35" fillId="0" borderId="6" xfId="2" applyNumberFormat="1" applyFont="1" applyFill="1"/>
    <xf numFmtId="49" fontId="40" fillId="0" borderId="6" xfId="4" applyNumberFormat="1" applyFont="1" applyFill="1"/>
    <xf numFmtId="16" fontId="33" fillId="0" borderId="6" xfId="4" applyNumberFormat="1" applyFont="1" applyFill="1"/>
    <xf numFmtId="165" fontId="33" fillId="0" borderId="6" xfId="4" applyNumberFormat="1" applyFont="1" applyFill="1"/>
    <xf numFmtId="2" fontId="33" fillId="0" borderId="6" xfId="4" applyNumberFormat="1" applyFont="1" applyFill="1"/>
    <xf numFmtId="16" fontId="23" fillId="0" borderId="6" xfId="4" applyNumberFormat="1" applyFont="1" applyFill="1"/>
    <xf numFmtId="0" fontId="55" fillId="0" borderId="6" xfId="4" applyFont="1" applyFill="1"/>
    <xf numFmtId="16" fontId="26" fillId="0" borderId="6" xfId="4" applyNumberFormat="1" applyFont="1" applyFill="1"/>
    <xf numFmtId="0" fontId="25" fillId="0" borderId="6" xfId="4" applyFont="1" applyFill="1"/>
    <xf numFmtId="0" fontId="21" fillId="0" borderId="6" xfId="4" applyFont="1" applyFill="1"/>
    <xf numFmtId="14" fontId="28" fillId="0" borderId="6" xfId="4" applyNumberFormat="1" applyFill="1"/>
    <xf numFmtId="16" fontId="19" fillId="0" borderId="6" xfId="4" applyNumberFormat="1" applyFont="1" applyFill="1"/>
    <xf numFmtId="164" fontId="34" fillId="0" borderId="6" xfId="4" applyNumberFormat="1" applyFont="1" applyFill="1"/>
    <xf numFmtId="16" fontId="31" fillId="0" borderId="6" xfId="2" applyNumberFormat="1" applyFont="1" applyFill="1"/>
    <xf numFmtId="8" fontId="78" fillId="0" borderId="6" xfId="0" applyNumberFormat="1" applyFont="1" applyFill="1" applyBorder="1"/>
    <xf numFmtId="165" fontId="73" fillId="0" borderId="6" xfId="4" applyNumberFormat="1" applyFont="1" applyFill="1"/>
    <xf numFmtId="44" fontId="31" fillId="0" borderId="6" xfId="2" applyNumberFormat="1" applyFont="1" applyFill="1"/>
    <xf numFmtId="49" fontId="33" fillId="0" borderId="6" xfId="2" applyNumberFormat="1" applyFont="1" applyFill="1" applyAlignment="1">
      <alignment horizontal="right"/>
    </xf>
    <xf numFmtId="16" fontId="33" fillId="0" borderId="6" xfId="2" applyNumberFormat="1" applyFont="1" applyFill="1"/>
    <xf numFmtId="0" fontId="92" fillId="0" borderId="6" xfId="4" applyFont="1" applyFill="1"/>
    <xf numFmtId="165" fontId="31" fillId="0" borderId="6" xfId="2" applyNumberFormat="1" applyFont="1" applyFill="1"/>
    <xf numFmtId="16" fontId="9" fillId="0" borderId="6" xfId="4" applyNumberFormat="1" applyFont="1" applyFill="1"/>
    <xf numFmtId="8" fontId="95" fillId="0" borderId="0" xfId="0" applyNumberFormat="1" applyFont="1" applyFill="1"/>
    <xf numFmtId="8" fontId="60" fillId="0" borderId="6" xfId="0" applyNumberFormat="1" applyFont="1" applyFill="1" applyBorder="1"/>
    <xf numFmtId="4" fontId="33" fillId="0" borderId="6" xfId="2" applyNumberFormat="1" applyFont="1" applyFill="1"/>
    <xf numFmtId="8" fontId="33" fillId="0" borderId="6" xfId="2" applyNumberFormat="1" applyFont="1" applyFill="1"/>
    <xf numFmtId="44" fontId="106" fillId="0" borderId="6" xfId="0" applyNumberFormat="1" applyFont="1" applyFill="1" applyBorder="1"/>
    <xf numFmtId="0" fontId="9" fillId="0" borderId="6" xfId="0" applyFont="1" applyFill="1" applyBorder="1"/>
    <xf numFmtId="16" fontId="13" fillId="0" borderId="6" xfId="4" applyNumberFormat="1" applyFont="1" applyFill="1"/>
    <xf numFmtId="2" fontId="36" fillId="0" borderId="6" xfId="2" applyNumberFormat="1" applyFont="1" applyFill="1"/>
    <xf numFmtId="1" fontId="36" fillId="0" borderId="6" xfId="2" applyNumberFormat="1" applyFont="1" applyFill="1" applyAlignment="1">
      <alignment horizontal="right"/>
    </xf>
    <xf numFmtId="8" fontId="60" fillId="0" borderId="0" xfId="0" applyNumberFormat="1" applyFont="1" applyFill="1"/>
    <xf numFmtId="0" fontId="36" fillId="0" borderId="6" xfId="2" applyFont="1" applyFill="1" applyAlignment="1">
      <alignment horizontal="right"/>
    </xf>
    <xf numFmtId="8" fontId="40" fillId="0" borderId="6" xfId="2" applyNumberFormat="1" applyFont="1" applyFill="1"/>
    <xf numFmtId="8" fontId="59" fillId="0" borderId="6" xfId="0" applyNumberFormat="1" applyFont="1" applyFill="1" applyBorder="1"/>
    <xf numFmtId="8" fontId="57" fillId="0" borderId="6" xfId="0" applyNumberFormat="1" applyFont="1" applyFill="1" applyBorder="1"/>
    <xf numFmtId="8" fontId="58" fillId="0" borderId="6" xfId="0" applyNumberFormat="1" applyFont="1" applyFill="1" applyBorder="1"/>
    <xf numFmtId="8" fontId="57" fillId="0" borderId="6" xfId="2" applyNumberFormat="1" applyFont="1" applyFill="1"/>
    <xf numFmtId="8" fontId="29" fillId="0" borderId="6" xfId="2" applyNumberFormat="1" applyFill="1"/>
    <xf numFmtId="0" fontId="11" fillId="0" borderId="6" xfId="2" applyFont="1" applyFill="1"/>
    <xf numFmtId="44" fontId="33" fillId="0" borderId="6" xfId="2" applyNumberFormat="1" applyFont="1" applyFill="1"/>
    <xf numFmtId="44" fontId="59" fillId="0" borderId="6" xfId="2" applyNumberFormat="1" applyFont="1" applyFill="1"/>
    <xf numFmtId="0" fontId="59" fillId="0" borderId="6" xfId="2" applyFont="1" applyFill="1"/>
    <xf numFmtId="0" fontId="61" fillId="0" borderId="6" xfId="2" applyFont="1" applyFill="1"/>
    <xf numFmtId="44" fontId="82" fillId="0" borderId="6" xfId="2" applyNumberFormat="1" applyFont="1" applyFill="1"/>
    <xf numFmtId="8" fontId="86" fillId="0" borderId="6" xfId="0" applyNumberFormat="1" applyFont="1" applyFill="1" applyBorder="1"/>
    <xf numFmtId="8" fontId="55" fillId="0" borderId="0" xfId="0" applyNumberFormat="1" applyFont="1" applyFill="1"/>
    <xf numFmtId="44" fontId="90" fillId="0" borderId="6" xfId="2" applyNumberFormat="1" applyFont="1" applyFill="1"/>
    <xf numFmtId="8" fontId="89" fillId="0" borderId="6" xfId="4" applyNumberFormat="1" applyFont="1" applyFill="1"/>
    <xf numFmtId="8" fontId="31" fillId="0" borderId="6" xfId="2" applyNumberFormat="1" applyFont="1" applyFill="1"/>
    <xf numFmtId="0" fontId="51" fillId="0" borderId="6" xfId="2" applyFont="1" applyFill="1"/>
    <xf numFmtId="0" fontId="57" fillId="0" borderId="6" xfId="2" applyFont="1" applyFill="1"/>
    <xf numFmtId="0" fontId="8" fillId="0" borderId="6" xfId="2" applyFont="1" applyFill="1"/>
    <xf numFmtId="44" fontId="97" fillId="0" borderId="6" xfId="2" applyNumberFormat="1" applyFont="1" applyFill="1"/>
    <xf numFmtId="0" fontId="49" fillId="0" borderId="6" xfId="2" applyFont="1" applyFill="1"/>
    <xf numFmtId="8" fontId="96" fillId="0" borderId="6" xfId="2" applyNumberFormat="1" applyFont="1" applyFill="1"/>
    <xf numFmtId="8" fontId="96" fillId="0" borderId="6" xfId="4" applyNumberFormat="1" applyFont="1" applyFill="1"/>
    <xf numFmtId="8" fontId="57" fillId="0" borderId="6" xfId="4" applyNumberFormat="1" applyFont="1" applyFill="1"/>
    <xf numFmtId="0" fontId="15" fillId="0" borderId="6" xfId="2" applyFont="1" applyFill="1"/>
    <xf numFmtId="0" fontId="10" fillId="0" borderId="6" xfId="2" applyFont="1" applyFill="1"/>
    <xf numFmtId="8" fontId="95" fillId="0" borderId="6" xfId="0" applyNumberFormat="1" applyFont="1" applyFill="1" applyBorder="1"/>
    <xf numFmtId="0" fontId="7" fillId="0" borderId="6" xfId="2" applyFont="1" applyFill="1"/>
    <xf numFmtId="44" fontId="89" fillId="0" borderId="0" xfId="1" applyFont="1" applyFill="1"/>
    <xf numFmtId="0" fontId="55" fillId="0" borderId="6" xfId="2" applyFont="1" applyFill="1"/>
    <xf numFmtId="0" fontId="14" fillId="0" borderId="6" xfId="2" applyFont="1" applyFill="1"/>
    <xf numFmtId="165" fontId="36" fillId="0" borderId="6" xfId="4" applyNumberFormat="1" applyFont="1" applyFill="1"/>
    <xf numFmtId="16" fontId="20" fillId="0" borderId="6" xfId="4" applyNumberFormat="1" applyFont="1" applyFill="1"/>
    <xf numFmtId="0" fontId="20" fillId="0" borderId="6" xfId="4" applyFont="1" applyFill="1"/>
    <xf numFmtId="16" fontId="15" fillId="0" borderId="6" xfId="4" applyNumberFormat="1" applyFont="1" applyFill="1"/>
    <xf numFmtId="16" fontId="12" fillId="0" borderId="6" xfId="4" applyNumberFormat="1" applyFont="1" applyFill="1"/>
    <xf numFmtId="16" fontId="17" fillId="0" borderId="6" xfId="4" applyNumberFormat="1" applyFont="1" applyFill="1"/>
    <xf numFmtId="8" fontId="89" fillId="0" borderId="0" xfId="0" applyNumberFormat="1" applyFont="1" applyFill="1"/>
    <xf numFmtId="0" fontId="34" fillId="0" borderId="6" xfId="0" applyFont="1" applyFill="1" applyBorder="1"/>
    <xf numFmtId="8" fontId="34" fillId="0" borderId="6" xfId="0" applyNumberFormat="1" applyFont="1" applyFill="1" applyBorder="1"/>
    <xf numFmtId="0" fontId="88" fillId="0" borderId="6" xfId="0" applyFont="1" applyFill="1" applyBorder="1"/>
    <xf numFmtId="8" fontId="34" fillId="0" borderId="6" xfId="0" applyNumberFormat="1" applyFont="1" applyFill="1" applyBorder="1" applyAlignment="1">
      <alignment horizont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75" fillId="0" borderId="9" xfId="4" applyFont="1" applyBorder="1" applyAlignment="1">
      <alignment horizontal="center" vertical="center"/>
    </xf>
    <xf numFmtId="0" fontId="76" fillId="0" borderId="10" xfId="4" applyFont="1" applyBorder="1" applyAlignment="1">
      <alignment vertical="center"/>
    </xf>
    <xf numFmtId="0" fontId="77" fillId="0" borderId="10" xfId="4" applyFont="1" applyBorder="1" applyAlignment="1">
      <alignment vertical="center"/>
    </xf>
    <xf numFmtId="0" fontId="76" fillId="0" borderId="11" xfId="4" applyFont="1" applyBorder="1" applyAlignment="1">
      <alignment vertical="center"/>
    </xf>
    <xf numFmtId="165" fontId="68" fillId="0" borderId="6" xfId="4" applyNumberFormat="1" applyFont="1" applyBorder="1" applyAlignment="1">
      <alignment horizontal="center"/>
    </xf>
    <xf numFmtId="0" fontId="69" fillId="0" borderId="13" xfId="4" applyFont="1" applyBorder="1"/>
    <xf numFmtId="0" fontId="65" fillId="0" borderId="6" xfId="4" applyFont="1" applyAlignment="1">
      <alignment horizontal="center" vertical="center"/>
    </xf>
    <xf numFmtId="0" fontId="66" fillId="0" borderId="6" xfId="4" applyFont="1" applyAlignment="1">
      <alignment vertical="center"/>
    </xf>
    <xf numFmtId="0" fontId="67" fillId="0" borderId="6" xfId="4" applyFont="1" applyAlignment="1">
      <alignment vertical="center"/>
    </xf>
    <xf numFmtId="165" fontId="68" fillId="0" borderId="6" xfId="4" applyNumberFormat="1" applyFont="1" applyAlignment="1">
      <alignment horizontal="center"/>
    </xf>
    <xf numFmtId="0" fontId="69" fillId="0" borderId="6" xfId="4" applyFont="1"/>
    <xf numFmtId="0" fontId="65" fillId="0" borderId="17" xfId="4" applyFont="1" applyBorder="1" applyAlignment="1">
      <alignment horizontal="center" vertical="center"/>
    </xf>
    <xf numFmtId="0" fontId="66" fillId="0" borderId="7" xfId="4" applyFont="1" applyBorder="1" applyAlignment="1">
      <alignment vertical="center"/>
    </xf>
    <xf numFmtId="0" fontId="67" fillId="0" borderId="7" xfId="4" applyFont="1" applyBorder="1" applyAlignment="1">
      <alignment vertical="center"/>
    </xf>
    <xf numFmtId="0" fontId="66" fillId="0" borderId="8" xfId="4" applyFont="1" applyBorder="1" applyAlignment="1">
      <alignment vertical="center"/>
    </xf>
    <xf numFmtId="165" fontId="102" fillId="0" borderId="10" xfId="4" applyNumberFormat="1" applyFont="1" applyBorder="1" applyAlignment="1">
      <alignment horizontal="center"/>
    </xf>
    <xf numFmtId="0" fontId="69" fillId="0" borderId="11" xfId="4" applyFont="1" applyBorder="1"/>
    <xf numFmtId="0" fontId="103" fillId="0" borderId="17" xfId="4" applyFont="1" applyBorder="1" applyAlignment="1">
      <alignment horizontal="center" vertical="center"/>
    </xf>
    <xf numFmtId="0" fontId="104" fillId="0" borderId="7" xfId="4" applyFont="1" applyBorder="1" applyAlignment="1">
      <alignment vertical="center"/>
    </xf>
    <xf numFmtId="0" fontId="105" fillId="0" borderId="7" xfId="4" applyFont="1" applyBorder="1" applyAlignment="1">
      <alignment vertical="center"/>
    </xf>
    <xf numFmtId="0" fontId="104" fillId="0" borderId="8" xfId="4" applyFont="1" applyBorder="1" applyAlignment="1">
      <alignment vertical="center"/>
    </xf>
    <xf numFmtId="0" fontId="0" fillId="0" borderId="0" xfId="0"/>
    <xf numFmtId="0" fontId="36" fillId="6" borderId="4" xfId="0" applyFont="1" applyFill="1" applyBorder="1" applyAlignment="1">
      <alignment horizontal="center"/>
    </xf>
    <xf numFmtId="0" fontId="41" fillId="0" borderId="5" xfId="0" applyFont="1" applyBorder="1"/>
    <xf numFmtId="0" fontId="41" fillId="0" borderId="6" xfId="0" applyFont="1" applyBorder="1"/>
    <xf numFmtId="0" fontId="45" fillId="0" borderId="0" xfId="0" applyFont="1" applyAlignment="1">
      <alignment horizontal="right"/>
    </xf>
    <xf numFmtId="16" fontId="40" fillId="0" borderId="6" xfId="4" applyNumberFormat="1" applyFont="1" applyFill="1"/>
    <xf numFmtId="0" fontId="91" fillId="0" borderId="6" xfId="2" applyFont="1" applyFill="1"/>
    <xf numFmtId="16" fontId="3" fillId="0" borderId="6" xfId="4" applyNumberFormat="1" applyFont="1" applyFill="1"/>
    <xf numFmtId="0" fontId="3" fillId="0" borderId="0" xfId="0" applyFont="1" applyFill="1"/>
    <xf numFmtId="44" fontId="2" fillId="0" borderId="6" xfId="1" applyFont="1" applyFill="1" applyBorder="1"/>
    <xf numFmtId="0" fontId="64" fillId="0" borderId="6" xfId="2" applyFont="1" applyFill="1"/>
    <xf numFmtId="44" fontId="57" fillId="0" borderId="6" xfId="1" applyFont="1" applyFill="1" applyBorder="1" applyAlignment="1"/>
    <xf numFmtId="0" fontId="86" fillId="0" borderId="0" xfId="0" applyFont="1" applyFill="1"/>
    <xf numFmtId="8" fontId="86" fillId="0" borderId="0" xfId="0" applyNumberFormat="1" applyFont="1" applyFill="1"/>
    <xf numFmtId="0" fontId="57" fillId="0" borderId="6" xfId="4" applyFont="1" applyFill="1"/>
    <xf numFmtId="16" fontId="57" fillId="0" borderId="6" xfId="4" applyNumberFormat="1" applyFont="1" applyFill="1"/>
    <xf numFmtId="165" fontId="32" fillId="2" borderId="18" xfId="4" applyNumberFormat="1" applyFont="1" applyFill="1" applyBorder="1" applyAlignment="1">
      <alignment horizontal="center"/>
    </xf>
    <xf numFmtId="165" fontId="107" fillId="2" borderId="18" xfId="4" applyNumberFormat="1" applyFont="1" applyFill="1" applyBorder="1" applyAlignment="1">
      <alignment horizontal="center"/>
    </xf>
    <xf numFmtId="8" fontId="1" fillId="0" borderId="0" xfId="0" applyNumberFormat="1" applyFont="1" applyFill="1"/>
    <xf numFmtId="0" fontId="1" fillId="0" borderId="0" xfId="0" applyFont="1" applyFill="1"/>
  </cellXfs>
  <cellStyles count="8">
    <cellStyle name="Millares" xfId="6" builtinId="3"/>
    <cellStyle name="Moneda" xfId="1" builtinId="4"/>
    <cellStyle name="Moneda 2" xfId="3" xr:uid="{00000000-0005-0000-0000-000001000000}"/>
    <cellStyle name="Moneda 3" xfId="5" xr:uid="{00000000-0005-0000-0000-000002000000}"/>
    <cellStyle name="Normal" xfId="0" builtinId="0"/>
    <cellStyle name="Normal 2" xfId="2" xr:uid="{00000000-0005-0000-0000-000004000000}"/>
    <cellStyle name="Normal 3" xfId="4" xr:uid="{00000000-0005-0000-0000-000005000000}"/>
    <cellStyle name="Normal 4" xfId="7" xr:uid="{8BA6740E-8541-478E-A14B-933552299CB9}"/>
  </cellStyles>
  <dxfs count="0"/>
  <tableStyles count="0" defaultTableStyle="TableStyleMedium2" defaultPivotStyle="PivotStyleLight16"/>
  <colors>
    <mruColors>
      <color rgb="FFFF5050"/>
      <color rgb="FFCCCCFF"/>
      <color rgb="FFFFCCFF"/>
      <color rgb="FFFFCCCC"/>
      <color rgb="FF99CCFF"/>
      <color rgb="FFFFFFFF"/>
      <color rgb="FFC0E399"/>
      <color rgb="FFCCFF33"/>
      <color rgb="FF71DA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ulo%20Poliza%20EN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regio F"/>
      <sheetName val="Banregio T "/>
      <sheetName val="BANREGIO GTS"/>
      <sheetName val="BANREGIO TDC"/>
      <sheetName val="REP CAJA CHICA"/>
      <sheetName val="Global"/>
      <sheetName val="Ventas"/>
      <sheetName val="Compras"/>
      <sheetName val="I8 I16 Compras"/>
      <sheetName val="I8 I16 Ventas"/>
      <sheetName val="I16 Comercial"/>
      <sheetName val="SALDOS A FAVOR P"/>
    </sheetNames>
    <sheetDataSet>
      <sheetData sheetId="0">
        <row r="4">
          <cell r="E4">
            <v>449020.73000002065</v>
          </cell>
        </row>
      </sheetData>
      <sheetData sheetId="1">
        <row r="4">
          <cell r="E4">
            <v>2075617.2000000065</v>
          </cell>
        </row>
      </sheetData>
      <sheetData sheetId="2">
        <row r="4">
          <cell r="E4">
            <v>3064.1499999999987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7030A0"/>
  </sheetPr>
  <dimension ref="A1:Z1430"/>
  <sheetViews>
    <sheetView tabSelected="1" zoomScaleNormal="100" workbookViewId="0">
      <pane ySplit="5" topLeftCell="A192" activePane="bottomLeft" state="frozen"/>
      <selection pane="bottomLeft" activeCell="I398" sqref="I398"/>
    </sheetView>
  </sheetViews>
  <sheetFormatPr baseColWidth="10" defaultColWidth="14.42578125" defaultRowHeight="15" customHeight="1" x14ac:dyDescent="0.25"/>
  <cols>
    <col min="1" max="1" width="12.140625" style="134" customWidth="1"/>
    <col min="2" max="2" width="93.28515625" style="134" customWidth="1"/>
    <col min="3" max="3" width="19.85546875" style="42" customWidth="1"/>
    <col min="4" max="4" width="16.7109375" style="47" customWidth="1"/>
    <col min="5" max="5" width="17.42578125" style="42" customWidth="1"/>
    <col min="6" max="6" width="14.85546875" style="42" customWidth="1"/>
    <col min="7" max="7" width="10.42578125" style="42" customWidth="1"/>
    <col min="8" max="8" width="11.7109375" style="42" customWidth="1"/>
    <col min="9" max="9" width="21.7109375" style="42" customWidth="1"/>
    <col min="10" max="10" width="11.28515625" style="42" bestFit="1" customWidth="1"/>
    <col min="11" max="11" width="18.42578125" style="78" customWidth="1"/>
    <col min="12" max="12" width="6.5703125" style="78" customWidth="1"/>
    <col min="13" max="14" width="11.42578125" style="42" customWidth="1"/>
    <col min="15" max="26" width="10.7109375" style="42" customWidth="1"/>
    <col min="27" max="16384" width="14.42578125" style="42"/>
  </cols>
  <sheetData>
    <row r="1" spans="1:26" s="52" customFormat="1" ht="35.25" customHeight="1" x14ac:dyDescent="0.3">
      <c r="A1" s="296" t="s">
        <v>0</v>
      </c>
      <c r="B1" s="297"/>
      <c r="C1" s="297"/>
      <c r="D1" s="298"/>
      <c r="E1" s="299"/>
      <c r="F1" s="124"/>
      <c r="G1" s="124"/>
      <c r="H1" s="124"/>
      <c r="I1" s="124"/>
      <c r="J1" s="124"/>
      <c r="K1" s="124"/>
      <c r="L1" s="124"/>
      <c r="M1" s="124"/>
      <c r="N1" s="124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3.5" customHeight="1" x14ac:dyDescent="0.25">
      <c r="A2" s="133" t="s">
        <v>1</v>
      </c>
      <c r="B2" s="163"/>
      <c r="C2" s="164"/>
      <c r="D2" s="300" t="s">
        <v>66</v>
      </c>
      <c r="E2" s="301"/>
      <c r="F2" s="124"/>
      <c r="G2" s="124"/>
      <c r="H2" s="67" t="s">
        <v>63</v>
      </c>
      <c r="I2" s="124"/>
      <c r="J2" s="124"/>
      <c r="K2" s="124"/>
      <c r="L2" s="124"/>
      <c r="M2" s="124"/>
      <c r="N2" s="124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3.5" customHeight="1" x14ac:dyDescent="0.25">
      <c r="A3" s="133" t="s">
        <v>2</v>
      </c>
      <c r="B3" s="163"/>
      <c r="C3" s="160"/>
      <c r="D3" s="161" t="s">
        <v>3</v>
      </c>
      <c r="E3" s="58">
        <f>'[1]Banregio F'!$E$4</f>
        <v>449020.73000002065</v>
      </c>
      <c r="F3" s="124"/>
      <c r="G3" s="124"/>
      <c r="H3" s="124"/>
      <c r="I3" s="124"/>
      <c r="J3" s="124"/>
      <c r="K3" s="124"/>
      <c r="L3" s="124"/>
      <c r="M3" s="124"/>
      <c r="N3" s="124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4.25" customHeight="1" thickBot="1" x14ac:dyDescent="0.3">
      <c r="A4" s="135" t="s">
        <v>4</v>
      </c>
      <c r="B4" s="136"/>
      <c r="C4" s="61"/>
      <c r="D4" s="62" t="s">
        <v>5</v>
      </c>
      <c r="E4" s="63">
        <f>E1414</f>
        <v>662274.450000023</v>
      </c>
      <c r="F4" s="40"/>
      <c r="G4" s="45"/>
      <c r="H4" s="40"/>
      <c r="J4" s="43"/>
      <c r="K4" s="68"/>
      <c r="L4" s="77"/>
      <c r="M4" s="56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3.5" customHeight="1" x14ac:dyDescent="0.25">
      <c r="A5" s="137" t="s">
        <v>6</v>
      </c>
      <c r="B5" s="137" t="s">
        <v>7</v>
      </c>
      <c r="C5" s="333" t="s">
        <v>51</v>
      </c>
      <c r="D5" s="334" t="s">
        <v>52</v>
      </c>
      <c r="E5" s="99" t="s">
        <v>10</v>
      </c>
      <c r="F5" s="40"/>
      <c r="G5" s="45"/>
      <c r="H5" s="40"/>
      <c r="I5" s="66"/>
      <c r="J5" s="43"/>
      <c r="K5" s="68"/>
      <c r="L5" s="76"/>
      <c r="M5" s="122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3.5" customHeight="1" x14ac:dyDescent="0.25">
      <c r="A6" s="175">
        <v>46056</v>
      </c>
      <c r="B6" s="170" t="s">
        <v>62</v>
      </c>
      <c r="C6" s="335">
        <v>114649.60000000001</v>
      </c>
      <c r="D6" s="336"/>
      <c r="E6" s="176">
        <f>E3-C6+D6</f>
        <v>334371.13000002061</v>
      </c>
      <c r="F6" s="322"/>
      <c r="G6" s="174"/>
      <c r="H6" s="177"/>
      <c r="I6" s="189"/>
      <c r="J6" s="179"/>
      <c r="K6" s="178"/>
      <c r="L6" s="123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3.5" customHeight="1" x14ac:dyDescent="0.25">
      <c r="A7" s="175">
        <v>46056</v>
      </c>
      <c r="B7" s="170" t="s">
        <v>67</v>
      </c>
      <c r="C7" s="336"/>
      <c r="D7" s="335">
        <v>4681.9799999999996</v>
      </c>
      <c r="E7" s="176">
        <f>E6-C7+D7</f>
        <v>339053.11000002059</v>
      </c>
      <c r="F7" s="190"/>
      <c r="G7" s="191"/>
      <c r="H7" s="192"/>
      <c r="I7" s="179"/>
      <c r="J7" s="174"/>
      <c r="K7" s="178"/>
      <c r="L7" s="123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3.5" customHeight="1" x14ac:dyDescent="0.25">
      <c r="A8" s="175">
        <v>46056</v>
      </c>
      <c r="B8" s="170" t="s">
        <v>74</v>
      </c>
      <c r="C8" s="336"/>
      <c r="D8" s="335">
        <v>308698</v>
      </c>
      <c r="E8" s="176">
        <f t="shared" ref="E8:E71" si="0">E7-C8+D8</f>
        <v>647751.11000002059</v>
      </c>
      <c r="F8" s="173"/>
      <c r="G8" s="174"/>
      <c r="H8" s="177"/>
      <c r="I8" s="322"/>
      <c r="J8" s="174"/>
      <c r="K8" s="323"/>
      <c r="L8" s="123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3.5" customHeight="1" x14ac:dyDescent="0.25">
      <c r="A9" s="175">
        <v>46056</v>
      </c>
      <c r="B9" s="170" t="s">
        <v>75</v>
      </c>
      <c r="C9" s="336"/>
      <c r="D9" s="335">
        <v>285509</v>
      </c>
      <c r="E9" s="176">
        <f t="shared" si="0"/>
        <v>933260.11000002059</v>
      </c>
      <c r="F9" s="173"/>
      <c r="G9" s="174"/>
      <c r="H9" s="177"/>
      <c r="I9" s="322"/>
      <c r="J9" s="174"/>
      <c r="K9" s="323"/>
      <c r="L9" s="123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3.5" customHeight="1" x14ac:dyDescent="0.25">
      <c r="A10" s="175">
        <v>46056</v>
      </c>
      <c r="B10" s="170" t="s">
        <v>76</v>
      </c>
      <c r="C10" s="336"/>
      <c r="D10" s="335">
        <v>5172.41</v>
      </c>
      <c r="E10" s="176">
        <f t="shared" si="0"/>
        <v>938432.52000002062</v>
      </c>
      <c r="F10" s="173"/>
      <c r="G10" s="174"/>
      <c r="H10" s="174"/>
      <c r="I10" s="174"/>
      <c r="J10" s="174"/>
      <c r="K10" s="323"/>
      <c r="L10" s="123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3.5" customHeight="1" x14ac:dyDescent="0.25">
      <c r="A11" s="175">
        <v>46056</v>
      </c>
      <c r="B11" s="170" t="s">
        <v>77</v>
      </c>
      <c r="C11" s="336"/>
      <c r="D11" s="335">
        <v>400457.5</v>
      </c>
      <c r="E11" s="176">
        <f t="shared" si="0"/>
        <v>1338890.0200000205</v>
      </c>
      <c r="F11" s="173"/>
      <c r="G11" s="174"/>
      <c r="H11" s="177"/>
      <c r="I11" s="197"/>
      <c r="J11" s="196"/>
      <c r="K11" s="323"/>
      <c r="L11" s="123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3.5" customHeight="1" x14ac:dyDescent="0.25">
      <c r="A12" s="175">
        <v>46056</v>
      </c>
      <c r="B12" s="170" t="s">
        <v>78</v>
      </c>
      <c r="C12" s="336"/>
      <c r="D12" s="335">
        <v>354874</v>
      </c>
      <c r="E12" s="176">
        <f t="shared" si="0"/>
        <v>1693764.0200000205</v>
      </c>
      <c r="F12" s="173"/>
      <c r="G12" s="174"/>
      <c r="H12" s="177"/>
      <c r="I12" s="322"/>
      <c r="J12" s="174"/>
      <c r="K12" s="178"/>
      <c r="L12" s="123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3.5" customHeight="1" x14ac:dyDescent="0.25">
      <c r="A13" s="175">
        <v>46056</v>
      </c>
      <c r="B13" s="170" t="s">
        <v>79</v>
      </c>
      <c r="C13" s="335">
        <v>13455.52</v>
      </c>
      <c r="D13" s="336"/>
      <c r="E13" s="176">
        <f t="shared" si="0"/>
        <v>1680308.5000000205</v>
      </c>
      <c r="F13" s="174"/>
      <c r="G13" s="174"/>
      <c r="H13" s="174"/>
      <c r="I13" s="174"/>
      <c r="J13" s="174"/>
      <c r="K13" s="178"/>
      <c r="L13" s="123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3.5" customHeight="1" x14ac:dyDescent="0.25">
      <c r="A14" s="175">
        <v>46056</v>
      </c>
      <c r="B14" s="170" t="s">
        <v>80</v>
      </c>
      <c r="C14" s="335">
        <v>39693</v>
      </c>
      <c r="D14" s="336"/>
      <c r="E14" s="176">
        <f t="shared" si="0"/>
        <v>1640615.5000000205</v>
      </c>
      <c r="F14" s="173"/>
      <c r="G14" s="174"/>
      <c r="H14" s="177"/>
      <c r="I14" s="196"/>
      <c r="J14" s="196"/>
      <c r="K14" s="178"/>
      <c r="L14" s="123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3.5" customHeight="1" x14ac:dyDescent="0.25">
      <c r="A15" s="175">
        <v>46056</v>
      </c>
      <c r="B15" s="170" t="s">
        <v>81</v>
      </c>
      <c r="C15" s="335">
        <v>14311</v>
      </c>
      <c r="D15" s="336"/>
      <c r="E15" s="176">
        <f t="shared" si="0"/>
        <v>1626304.5000000205</v>
      </c>
      <c r="F15" s="174"/>
      <c r="G15" s="174"/>
      <c r="H15" s="174"/>
      <c r="I15" s="174"/>
      <c r="J15" s="174"/>
      <c r="K15" s="178"/>
      <c r="L15" s="66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3.5" customHeight="1" x14ac:dyDescent="0.25">
      <c r="A16" s="175">
        <v>46056</v>
      </c>
      <c r="B16" s="170" t="s">
        <v>82</v>
      </c>
      <c r="C16" s="335">
        <v>2045.9</v>
      </c>
      <c r="D16" s="336"/>
      <c r="E16" s="176">
        <f t="shared" si="0"/>
        <v>1624258.6000000206</v>
      </c>
      <c r="F16" s="174"/>
      <c r="G16" s="174"/>
      <c r="H16" s="174"/>
      <c r="I16" s="174"/>
      <c r="J16" s="174"/>
      <c r="K16" s="178"/>
      <c r="L16" s="66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3.5" customHeight="1" x14ac:dyDescent="0.25">
      <c r="A17" s="175">
        <v>46056</v>
      </c>
      <c r="B17" s="170" t="s">
        <v>83</v>
      </c>
      <c r="C17" s="335">
        <v>22860.3</v>
      </c>
      <c r="D17" s="336"/>
      <c r="E17" s="176">
        <f t="shared" si="0"/>
        <v>1601398.3000000205</v>
      </c>
      <c r="F17" s="174"/>
      <c r="G17" s="174"/>
      <c r="H17" s="174"/>
      <c r="I17" s="174"/>
      <c r="J17" s="174"/>
      <c r="K17" s="178"/>
      <c r="L17" s="66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3.5" customHeight="1" x14ac:dyDescent="0.25">
      <c r="A18" s="175">
        <v>46056</v>
      </c>
      <c r="B18" s="170" t="s">
        <v>84</v>
      </c>
      <c r="C18" s="335">
        <v>13460</v>
      </c>
      <c r="D18" s="336"/>
      <c r="E18" s="176">
        <f t="shared" si="0"/>
        <v>1587938.3000000205</v>
      </c>
      <c r="F18" s="174"/>
      <c r="G18" s="174"/>
      <c r="H18" s="174"/>
      <c r="I18" s="174"/>
      <c r="J18" s="174"/>
      <c r="K18" s="178"/>
      <c r="L18" s="66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3.5" customHeight="1" x14ac:dyDescent="0.25">
      <c r="A19" s="175">
        <v>46056</v>
      </c>
      <c r="B19" s="170" t="s">
        <v>85</v>
      </c>
      <c r="C19" s="335">
        <v>13578.92</v>
      </c>
      <c r="D19" s="336"/>
      <c r="E19" s="176">
        <f t="shared" si="0"/>
        <v>1574359.3800000206</v>
      </c>
      <c r="F19" s="174"/>
      <c r="G19" s="174"/>
      <c r="H19" s="179"/>
      <c r="I19" s="179"/>
      <c r="J19" s="179"/>
      <c r="K19" s="23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3.5" customHeight="1" x14ac:dyDescent="0.25">
      <c r="A20" s="175">
        <v>46056</v>
      </c>
      <c r="B20" s="170" t="s">
        <v>86</v>
      </c>
      <c r="C20" s="335">
        <v>3975.71</v>
      </c>
      <c r="D20" s="336"/>
      <c r="E20" s="176">
        <f t="shared" si="0"/>
        <v>1570383.6700000206</v>
      </c>
      <c r="F20" s="174"/>
      <c r="G20" s="174"/>
      <c r="H20" s="179"/>
      <c r="I20" s="179"/>
      <c r="J20" s="179"/>
      <c r="K20" s="23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3.5" customHeight="1" x14ac:dyDescent="0.25">
      <c r="A21" s="175">
        <v>46056</v>
      </c>
      <c r="B21" s="170" t="s">
        <v>87</v>
      </c>
      <c r="C21" s="335">
        <v>4482</v>
      </c>
      <c r="D21" s="336"/>
      <c r="E21" s="176">
        <f t="shared" si="0"/>
        <v>1565901.6700000206</v>
      </c>
      <c r="F21" s="174"/>
      <c r="G21" s="174"/>
      <c r="H21" s="179"/>
      <c r="I21" s="179"/>
      <c r="J21" s="174"/>
      <c r="K21" s="23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3.5" customHeight="1" x14ac:dyDescent="0.25">
      <c r="A22" s="175">
        <v>46056</v>
      </c>
      <c r="B22" s="170" t="s">
        <v>88</v>
      </c>
      <c r="C22" s="335">
        <v>158868.29999999999</v>
      </c>
      <c r="D22" s="336"/>
      <c r="E22" s="176">
        <f t="shared" si="0"/>
        <v>1407033.3700000206</v>
      </c>
      <c r="F22" s="173"/>
      <c r="G22" s="174"/>
      <c r="H22" s="177"/>
      <c r="I22" s="197"/>
      <c r="J22" s="179"/>
      <c r="K22" s="23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3.5" customHeight="1" x14ac:dyDescent="0.25">
      <c r="A23" s="175">
        <v>46056</v>
      </c>
      <c r="B23" s="170" t="s">
        <v>89</v>
      </c>
      <c r="C23" s="335">
        <v>7690</v>
      </c>
      <c r="D23" s="336"/>
      <c r="E23" s="176">
        <f t="shared" si="0"/>
        <v>1399343.3700000206</v>
      </c>
      <c r="F23" s="173"/>
      <c r="G23" s="174"/>
      <c r="H23" s="177"/>
      <c r="I23" s="197"/>
      <c r="J23" s="174"/>
      <c r="K23" s="178"/>
      <c r="L23" s="66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3.5" customHeight="1" x14ac:dyDescent="0.25">
      <c r="A24" s="175">
        <v>46056</v>
      </c>
      <c r="B24" s="170" t="s">
        <v>90</v>
      </c>
      <c r="C24" s="335">
        <v>1767.34</v>
      </c>
      <c r="D24" s="336"/>
      <c r="E24" s="176">
        <f t="shared" si="0"/>
        <v>1397576.0300000205</v>
      </c>
      <c r="F24" s="173"/>
      <c r="G24" s="174"/>
      <c r="H24" s="177"/>
      <c r="I24" s="196"/>
      <c r="J24" s="196"/>
      <c r="K24" s="178"/>
      <c r="L24" s="66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3.5" customHeight="1" x14ac:dyDescent="0.25">
      <c r="A25" s="175">
        <v>46056</v>
      </c>
      <c r="B25" s="170" t="s">
        <v>91</v>
      </c>
      <c r="C25" s="335">
        <v>1871.5</v>
      </c>
      <c r="D25" s="336"/>
      <c r="E25" s="176">
        <f t="shared" si="0"/>
        <v>1395704.5300000205</v>
      </c>
      <c r="F25" s="173"/>
      <c r="G25" s="174"/>
      <c r="H25" s="177"/>
      <c r="I25" s="196"/>
      <c r="J25" s="196"/>
      <c r="K25" s="178"/>
      <c r="L25" s="66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3.5" customHeight="1" x14ac:dyDescent="0.25">
      <c r="A26" s="175">
        <v>46056</v>
      </c>
      <c r="B26" s="170" t="s">
        <v>92</v>
      </c>
      <c r="C26" s="335">
        <v>9579.5</v>
      </c>
      <c r="D26" s="336"/>
      <c r="E26" s="176">
        <f t="shared" si="0"/>
        <v>1386125.0300000205</v>
      </c>
      <c r="F26" s="174"/>
      <c r="G26" s="174"/>
      <c r="H26" s="174"/>
      <c r="I26" s="174"/>
      <c r="J26" s="174"/>
      <c r="K26" s="178"/>
      <c r="L26" s="66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3.5" customHeight="1" x14ac:dyDescent="0.25">
      <c r="A27" s="175">
        <v>46056</v>
      </c>
      <c r="B27" s="170" t="s">
        <v>93</v>
      </c>
      <c r="C27" s="335">
        <v>1143.24</v>
      </c>
      <c r="D27" s="336"/>
      <c r="E27" s="176">
        <f t="shared" si="0"/>
        <v>1384981.7900000205</v>
      </c>
      <c r="F27" s="174"/>
      <c r="G27" s="174"/>
      <c r="H27" s="174"/>
      <c r="I27" s="174"/>
      <c r="J27" s="174"/>
      <c r="K27" s="178"/>
      <c r="L27" s="66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3.5" customHeight="1" x14ac:dyDescent="0.25">
      <c r="A28" s="175">
        <v>46056</v>
      </c>
      <c r="B28" s="170" t="s">
        <v>94</v>
      </c>
      <c r="C28" s="335">
        <v>2289.1799999999998</v>
      </c>
      <c r="D28" s="336"/>
      <c r="E28" s="176">
        <f t="shared" si="0"/>
        <v>1382692.6100000206</v>
      </c>
      <c r="F28" s="174"/>
      <c r="G28" s="174"/>
      <c r="H28" s="174"/>
      <c r="I28" s="174"/>
      <c r="J28" s="174"/>
      <c r="K28" s="178"/>
      <c r="L28" s="66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3.5" customHeight="1" x14ac:dyDescent="0.25">
      <c r="A29" s="175">
        <v>46056</v>
      </c>
      <c r="B29" s="170" t="s">
        <v>95</v>
      </c>
      <c r="C29" s="335">
        <v>44516.639999999999</v>
      </c>
      <c r="D29" s="336"/>
      <c r="E29" s="176">
        <f t="shared" si="0"/>
        <v>1338175.9700000207</v>
      </c>
      <c r="F29" s="174"/>
      <c r="G29" s="174"/>
      <c r="H29" s="174"/>
      <c r="I29" s="174"/>
      <c r="J29" s="174"/>
      <c r="K29" s="178"/>
      <c r="L29" s="66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3.5" customHeight="1" x14ac:dyDescent="0.25">
      <c r="A30" s="175">
        <v>46056</v>
      </c>
      <c r="B30" s="170" t="s">
        <v>96</v>
      </c>
      <c r="C30" s="335">
        <v>1440</v>
      </c>
      <c r="D30" s="336"/>
      <c r="E30" s="176">
        <f t="shared" si="0"/>
        <v>1336735.9700000207</v>
      </c>
      <c r="F30" s="198"/>
      <c r="G30" s="174"/>
      <c r="H30" s="193"/>
      <c r="I30" s="194"/>
      <c r="J30" s="174"/>
      <c r="K30" s="323"/>
      <c r="L30" s="123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3.5" customHeight="1" x14ac:dyDescent="0.25">
      <c r="A31" s="175">
        <v>46056</v>
      </c>
      <c r="B31" s="170" t="s">
        <v>97</v>
      </c>
      <c r="C31" s="335">
        <v>3000</v>
      </c>
      <c r="D31" s="336"/>
      <c r="E31" s="176">
        <f t="shared" si="0"/>
        <v>1333735.9700000207</v>
      </c>
      <c r="F31" s="195"/>
      <c r="G31" s="199"/>
      <c r="H31" s="200"/>
      <c r="I31" s="201"/>
      <c r="J31" s="174"/>
      <c r="K31" s="323"/>
      <c r="L31" s="123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3.5" customHeight="1" x14ac:dyDescent="0.25">
      <c r="A32" s="175">
        <v>46056</v>
      </c>
      <c r="B32" s="170" t="s">
        <v>98</v>
      </c>
      <c r="C32" s="335">
        <v>769876</v>
      </c>
      <c r="D32" s="336"/>
      <c r="E32" s="176">
        <f t="shared" si="0"/>
        <v>563859.97000002069</v>
      </c>
      <c r="F32" s="173"/>
      <c r="G32" s="199"/>
      <c r="H32" s="200"/>
      <c r="I32" s="201"/>
      <c r="J32" s="174"/>
      <c r="K32" s="323"/>
      <c r="L32" s="124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3.5" customHeight="1" x14ac:dyDescent="0.25">
      <c r="A33" s="175">
        <v>46056</v>
      </c>
      <c r="B33" s="170" t="s">
        <v>99</v>
      </c>
      <c r="C33" s="335">
        <v>4000</v>
      </c>
      <c r="D33" s="336"/>
      <c r="E33" s="176">
        <f t="shared" si="0"/>
        <v>559859.97000002069</v>
      </c>
      <c r="F33" s="174"/>
      <c r="G33" s="174"/>
      <c r="H33" s="174"/>
      <c r="I33" s="174"/>
      <c r="J33" s="174"/>
      <c r="K33" s="178"/>
      <c r="L33" s="66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3.5" customHeight="1" x14ac:dyDescent="0.25">
      <c r="A34" s="175">
        <v>46056</v>
      </c>
      <c r="B34" s="170" t="s">
        <v>100</v>
      </c>
      <c r="C34" s="335">
        <v>1314.46</v>
      </c>
      <c r="D34" s="336"/>
      <c r="E34" s="176">
        <f t="shared" si="0"/>
        <v>558545.51000002073</v>
      </c>
      <c r="F34" s="174"/>
      <c r="G34" s="174"/>
      <c r="H34" s="174"/>
      <c r="I34" s="174"/>
      <c r="J34" s="174"/>
      <c r="K34" s="178"/>
      <c r="L34" s="66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3.5" customHeight="1" x14ac:dyDescent="0.25">
      <c r="A35" s="175">
        <v>46056</v>
      </c>
      <c r="B35" s="170" t="s">
        <v>106</v>
      </c>
      <c r="C35" s="336"/>
      <c r="D35" s="335">
        <v>3511.34</v>
      </c>
      <c r="E35" s="176">
        <f t="shared" si="0"/>
        <v>562056.8500000207</v>
      </c>
      <c r="F35" s="174"/>
      <c r="G35" s="174"/>
      <c r="H35" s="174"/>
      <c r="I35" s="174"/>
      <c r="J35" s="174"/>
      <c r="K35" s="178"/>
      <c r="L35" s="66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3.5" customHeight="1" x14ac:dyDescent="0.25">
      <c r="A36" s="175">
        <v>46057</v>
      </c>
      <c r="B36" s="170" t="s">
        <v>107</v>
      </c>
      <c r="C36" s="336"/>
      <c r="D36" s="335">
        <v>271934.5</v>
      </c>
      <c r="E36" s="176">
        <f t="shared" si="0"/>
        <v>833991.3500000207</v>
      </c>
      <c r="F36" s="173"/>
      <c r="G36" s="174"/>
      <c r="H36" s="177"/>
      <c r="I36" s="197"/>
      <c r="J36" s="174"/>
      <c r="K36" s="178"/>
      <c r="L36" s="66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3.5" customHeight="1" x14ac:dyDescent="0.25">
      <c r="A37" s="175">
        <v>46057</v>
      </c>
      <c r="B37" s="170" t="s">
        <v>108</v>
      </c>
      <c r="C37" s="335">
        <v>89077</v>
      </c>
      <c r="D37" s="336"/>
      <c r="E37" s="176">
        <f t="shared" si="0"/>
        <v>744914.3500000207</v>
      </c>
      <c r="F37" s="174"/>
      <c r="G37" s="174"/>
      <c r="H37" s="174"/>
      <c r="I37" s="174"/>
      <c r="J37" s="174"/>
      <c r="K37" s="178"/>
      <c r="L37" s="66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3.5" customHeight="1" x14ac:dyDescent="0.25">
      <c r="A38" s="175">
        <v>46057</v>
      </c>
      <c r="B38" s="170" t="s">
        <v>109</v>
      </c>
      <c r="C38" s="335">
        <v>3000</v>
      </c>
      <c r="D38" s="336"/>
      <c r="E38" s="176">
        <f t="shared" si="0"/>
        <v>741914.3500000207</v>
      </c>
      <c r="F38" s="174"/>
      <c r="G38" s="174"/>
      <c r="H38" s="174"/>
      <c r="I38" s="174"/>
      <c r="J38" s="174"/>
      <c r="K38" s="178"/>
      <c r="L38" s="66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3.5" customHeight="1" x14ac:dyDescent="0.25">
      <c r="A39" s="175">
        <v>46057</v>
      </c>
      <c r="B39" s="170" t="s">
        <v>110</v>
      </c>
      <c r="C39" s="335">
        <v>3270.43</v>
      </c>
      <c r="D39" s="336"/>
      <c r="E39" s="176">
        <f t="shared" si="0"/>
        <v>738643.92000002065</v>
      </c>
      <c r="F39" s="174"/>
      <c r="G39" s="174"/>
      <c r="H39" s="174"/>
      <c r="I39" s="174"/>
      <c r="J39" s="174"/>
      <c r="K39" s="178"/>
      <c r="L39" s="66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3.5" customHeight="1" x14ac:dyDescent="0.25">
      <c r="A40" s="175">
        <v>46057</v>
      </c>
      <c r="B40" s="170" t="s">
        <v>111</v>
      </c>
      <c r="C40" s="335">
        <v>2436</v>
      </c>
      <c r="D40" s="336"/>
      <c r="E40" s="176">
        <f t="shared" si="0"/>
        <v>736207.92000002065</v>
      </c>
      <c r="F40" s="174"/>
      <c r="G40" s="174"/>
      <c r="H40" s="174"/>
      <c r="I40" s="174"/>
      <c r="J40" s="174"/>
      <c r="K40" s="178"/>
      <c r="L40" s="66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3.5" customHeight="1" x14ac:dyDescent="0.25">
      <c r="A41" s="175">
        <v>46057</v>
      </c>
      <c r="B41" s="170" t="s">
        <v>112</v>
      </c>
      <c r="C41" s="335">
        <v>9337.81</v>
      </c>
      <c r="D41" s="336"/>
      <c r="E41" s="176">
        <f t="shared" si="0"/>
        <v>726870.11000002059</v>
      </c>
      <c r="F41" s="179"/>
      <c r="G41" s="179"/>
      <c r="H41" s="179"/>
      <c r="I41" s="179"/>
      <c r="J41" s="174"/>
      <c r="K41" s="178"/>
      <c r="L41" s="66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3.5" customHeight="1" x14ac:dyDescent="0.25">
      <c r="A42" s="175">
        <v>46057</v>
      </c>
      <c r="B42" s="170" t="s">
        <v>113</v>
      </c>
      <c r="C42" s="336"/>
      <c r="D42" s="335">
        <v>3798.81</v>
      </c>
      <c r="E42" s="176">
        <f t="shared" si="0"/>
        <v>730668.92000002065</v>
      </c>
      <c r="F42" s="202"/>
      <c r="G42" s="179"/>
      <c r="H42" s="179"/>
      <c r="I42" s="179"/>
      <c r="J42" s="174"/>
      <c r="K42" s="178"/>
      <c r="L42" s="66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3.5" customHeight="1" x14ac:dyDescent="0.25">
      <c r="A43" s="175">
        <v>46058</v>
      </c>
      <c r="B43" s="170" t="s">
        <v>114</v>
      </c>
      <c r="C43" s="336"/>
      <c r="D43" s="335">
        <v>360547.5</v>
      </c>
      <c r="E43" s="176">
        <f>E42-C43+D43</f>
        <v>1091216.4200000206</v>
      </c>
      <c r="F43" s="173"/>
      <c r="G43" s="174"/>
      <c r="H43" s="177"/>
      <c r="I43" s="197"/>
      <c r="J43" s="174"/>
      <c r="K43" s="178"/>
      <c r="L43" s="66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3.5" customHeight="1" x14ac:dyDescent="0.25">
      <c r="A44" s="175">
        <v>46058</v>
      </c>
      <c r="B44" s="170" t="s">
        <v>115</v>
      </c>
      <c r="C44" s="335">
        <v>24756.799999999999</v>
      </c>
      <c r="D44" s="336"/>
      <c r="E44" s="176">
        <f t="shared" si="0"/>
        <v>1066459.6200000206</v>
      </c>
      <c r="F44" s="174"/>
      <c r="G44" s="174"/>
      <c r="H44" s="174"/>
      <c r="I44" s="174"/>
      <c r="J44" s="174"/>
      <c r="K44" s="178"/>
      <c r="L44" s="66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3.5" customHeight="1" x14ac:dyDescent="0.25">
      <c r="A45" s="175">
        <v>46059</v>
      </c>
      <c r="B45" s="170" t="s">
        <v>99</v>
      </c>
      <c r="C45" s="335">
        <v>2000</v>
      </c>
      <c r="D45" s="336"/>
      <c r="E45" s="176">
        <f t="shared" si="0"/>
        <v>1064459.6200000206</v>
      </c>
      <c r="F45" s="174"/>
      <c r="G45" s="174"/>
      <c r="H45" s="174"/>
      <c r="I45" s="174"/>
      <c r="J45" s="174"/>
      <c r="K45" s="178"/>
      <c r="L45" s="66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3.5" customHeight="1" x14ac:dyDescent="0.25">
      <c r="A46" s="175">
        <v>46059</v>
      </c>
      <c r="B46" s="170" t="s">
        <v>116</v>
      </c>
      <c r="C46" s="336"/>
      <c r="D46" s="335">
        <v>297798.5</v>
      </c>
      <c r="E46" s="176">
        <f t="shared" si="0"/>
        <v>1362258.1200000206</v>
      </c>
      <c r="F46" s="173"/>
      <c r="G46" s="174"/>
      <c r="H46" s="177"/>
      <c r="I46" s="197"/>
      <c r="J46" s="174"/>
      <c r="K46" s="178"/>
      <c r="L46" s="66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3.5" customHeight="1" x14ac:dyDescent="0.25">
      <c r="A47" s="175">
        <v>46059</v>
      </c>
      <c r="B47" s="170" t="s">
        <v>117</v>
      </c>
      <c r="C47" s="335">
        <v>81027.16</v>
      </c>
      <c r="D47" s="336"/>
      <c r="E47" s="176">
        <f t="shared" si="0"/>
        <v>1281230.9600000207</v>
      </c>
      <c r="F47" s="174"/>
      <c r="G47" s="179"/>
      <c r="H47" s="179"/>
      <c r="I47" s="174"/>
      <c r="J47" s="174"/>
      <c r="K47" s="178"/>
      <c r="L47" s="66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3.5" customHeight="1" x14ac:dyDescent="0.25">
      <c r="A48" s="175">
        <v>46059</v>
      </c>
      <c r="B48" s="170" t="s">
        <v>119</v>
      </c>
      <c r="C48" s="335">
        <v>8740</v>
      </c>
      <c r="D48" s="336"/>
      <c r="E48" s="176">
        <f t="shared" si="0"/>
        <v>1272490.9600000207</v>
      </c>
      <c r="F48" s="206"/>
      <c r="G48" s="206"/>
      <c r="H48" s="174"/>
      <c r="I48" s="174"/>
      <c r="J48" s="174"/>
      <c r="K48" s="178"/>
      <c r="L48" s="66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3.5" customHeight="1" x14ac:dyDescent="0.25">
      <c r="A49" s="175">
        <v>46059</v>
      </c>
      <c r="B49" s="170" t="s">
        <v>120</v>
      </c>
      <c r="C49" s="335">
        <v>2500</v>
      </c>
      <c r="D49" s="336"/>
      <c r="E49" s="176">
        <f t="shared" si="0"/>
        <v>1269990.9600000207</v>
      </c>
      <c r="F49" s="174"/>
      <c r="G49" s="174"/>
      <c r="H49" s="174"/>
      <c r="I49" s="174"/>
      <c r="J49" s="174"/>
      <c r="K49" s="178"/>
      <c r="L49" s="66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3.5" customHeight="1" x14ac:dyDescent="0.25">
      <c r="A50" s="175">
        <v>46059</v>
      </c>
      <c r="B50" s="170" t="s">
        <v>121</v>
      </c>
      <c r="C50" s="335">
        <v>26180</v>
      </c>
      <c r="D50" s="336"/>
      <c r="E50" s="176">
        <f t="shared" si="0"/>
        <v>1243810.9600000207</v>
      </c>
      <c r="F50" s="173"/>
      <c r="G50" s="199"/>
      <c r="H50" s="192"/>
      <c r="I50" s="197"/>
      <c r="J50" s="174"/>
      <c r="K50" s="178"/>
      <c r="L50" s="66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3.5" customHeight="1" x14ac:dyDescent="0.25">
      <c r="A51" s="175">
        <v>46059</v>
      </c>
      <c r="B51" s="170" t="s">
        <v>122</v>
      </c>
      <c r="C51" s="335">
        <v>2700</v>
      </c>
      <c r="D51" s="336"/>
      <c r="E51" s="176">
        <f t="shared" si="0"/>
        <v>1241110.9600000207</v>
      </c>
      <c r="F51" s="174"/>
      <c r="G51" s="174"/>
      <c r="H51" s="174"/>
      <c r="I51" s="174"/>
      <c r="J51" s="174"/>
      <c r="K51" s="178"/>
      <c r="L51" s="66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3.5" customHeight="1" x14ac:dyDescent="0.25">
      <c r="A52" s="175">
        <v>46059</v>
      </c>
      <c r="B52" s="170" t="s">
        <v>123</v>
      </c>
      <c r="C52" s="335">
        <v>17550</v>
      </c>
      <c r="D52" s="336"/>
      <c r="E52" s="176">
        <f t="shared" si="0"/>
        <v>1223560.9600000207</v>
      </c>
      <c r="F52" s="174"/>
      <c r="G52" s="174"/>
      <c r="H52" s="174"/>
      <c r="I52" s="174"/>
      <c r="J52" s="174"/>
      <c r="K52" s="178"/>
      <c r="L52" s="66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3.5" customHeight="1" x14ac:dyDescent="0.25">
      <c r="A53" s="175">
        <v>46059</v>
      </c>
      <c r="B53" s="170" t="s">
        <v>124</v>
      </c>
      <c r="C53" s="335">
        <v>4830</v>
      </c>
      <c r="D53" s="336"/>
      <c r="E53" s="176">
        <f t="shared" si="0"/>
        <v>1218730.9600000207</v>
      </c>
      <c r="F53" s="174"/>
      <c r="G53" s="174"/>
      <c r="H53" s="174"/>
      <c r="I53" s="174"/>
      <c r="J53" s="174"/>
      <c r="K53" s="178"/>
      <c r="L53" s="66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3.5" customHeight="1" x14ac:dyDescent="0.25">
      <c r="A54" s="175">
        <v>46059</v>
      </c>
      <c r="B54" s="170" t="s">
        <v>125</v>
      </c>
      <c r="C54" s="335">
        <v>3920</v>
      </c>
      <c r="D54" s="336"/>
      <c r="E54" s="176">
        <f t="shared" si="0"/>
        <v>1214810.9600000207</v>
      </c>
      <c r="F54" s="174"/>
      <c r="G54" s="174"/>
      <c r="H54" s="174"/>
      <c r="I54" s="174"/>
      <c r="J54" s="174"/>
      <c r="K54" s="178"/>
      <c r="L54" s="66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3.5" customHeight="1" x14ac:dyDescent="0.25">
      <c r="A55" s="175">
        <v>46059</v>
      </c>
      <c r="B55" s="170" t="s">
        <v>126</v>
      </c>
      <c r="C55" s="335">
        <v>23110</v>
      </c>
      <c r="D55" s="336"/>
      <c r="E55" s="176">
        <f t="shared" si="0"/>
        <v>1191700.9600000207</v>
      </c>
      <c r="F55" s="174"/>
      <c r="G55" s="174"/>
      <c r="H55" s="174"/>
      <c r="I55" s="174"/>
      <c r="J55" s="174"/>
      <c r="K55" s="178"/>
      <c r="L55" s="66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3.5" customHeight="1" x14ac:dyDescent="0.25">
      <c r="A56" s="175">
        <v>46059</v>
      </c>
      <c r="B56" s="170" t="s">
        <v>127</v>
      </c>
      <c r="C56" s="335">
        <v>3780</v>
      </c>
      <c r="D56" s="336"/>
      <c r="E56" s="176">
        <f t="shared" si="0"/>
        <v>1187920.9600000207</v>
      </c>
      <c r="F56" s="174"/>
      <c r="G56" s="174"/>
      <c r="H56" s="174"/>
      <c r="I56" s="174"/>
      <c r="J56" s="174"/>
      <c r="K56" s="178"/>
      <c r="L56" s="66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3.5" customHeight="1" x14ac:dyDescent="0.25">
      <c r="A57" s="175">
        <v>46059</v>
      </c>
      <c r="B57" s="170" t="s">
        <v>128</v>
      </c>
      <c r="C57" s="335">
        <v>8100</v>
      </c>
      <c r="D57" s="336"/>
      <c r="E57" s="176">
        <f t="shared" si="0"/>
        <v>1179820.9600000207</v>
      </c>
      <c r="F57" s="174"/>
      <c r="G57" s="174"/>
      <c r="H57" s="174"/>
      <c r="I57" s="174"/>
      <c r="J57" s="174"/>
      <c r="K57" s="178"/>
      <c r="L57" s="66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3.5" customHeight="1" x14ac:dyDescent="0.25">
      <c r="A58" s="175">
        <v>46059</v>
      </c>
      <c r="B58" s="170" t="s">
        <v>129</v>
      </c>
      <c r="C58" s="335">
        <v>6220</v>
      </c>
      <c r="D58" s="336"/>
      <c r="E58" s="176">
        <f t="shared" si="0"/>
        <v>1173600.9600000207</v>
      </c>
      <c r="F58" s="174"/>
      <c r="G58" s="174"/>
      <c r="H58" s="174"/>
      <c r="I58" s="174"/>
      <c r="J58" s="174"/>
      <c r="K58" s="178"/>
      <c r="L58" s="66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3.5" customHeight="1" x14ac:dyDescent="0.25">
      <c r="A59" s="175">
        <v>46059</v>
      </c>
      <c r="B59" s="170" t="s">
        <v>130</v>
      </c>
      <c r="C59" s="335">
        <v>5200</v>
      </c>
      <c r="D59" s="336"/>
      <c r="E59" s="176">
        <f t="shared" si="0"/>
        <v>1168400.9600000207</v>
      </c>
      <c r="F59" s="174"/>
      <c r="G59" s="174"/>
      <c r="H59" s="174"/>
      <c r="I59" s="174"/>
      <c r="J59" s="174"/>
      <c r="K59" s="178"/>
      <c r="L59" s="66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3.5" customHeight="1" x14ac:dyDescent="0.25">
      <c r="A60" s="175">
        <v>46059</v>
      </c>
      <c r="B60" s="170" t="s">
        <v>131</v>
      </c>
      <c r="C60" s="335">
        <v>12590</v>
      </c>
      <c r="D60" s="336"/>
      <c r="E60" s="176">
        <f t="shared" si="0"/>
        <v>1155810.9600000207</v>
      </c>
      <c r="F60" s="174"/>
      <c r="G60" s="174"/>
      <c r="H60" s="174"/>
      <c r="I60" s="174"/>
      <c r="J60" s="174"/>
      <c r="K60" s="178"/>
      <c r="L60" s="66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3.5" customHeight="1" x14ac:dyDescent="0.25">
      <c r="A61" s="175">
        <v>46059</v>
      </c>
      <c r="B61" s="170" t="s">
        <v>132</v>
      </c>
      <c r="C61" s="335">
        <v>3360</v>
      </c>
      <c r="D61" s="336"/>
      <c r="E61" s="176">
        <f t="shared" si="0"/>
        <v>1152450.9600000207</v>
      </c>
      <c r="F61" s="174"/>
      <c r="G61" s="174"/>
      <c r="H61" s="174"/>
      <c r="I61" s="174"/>
      <c r="J61" s="174"/>
      <c r="K61" s="178"/>
      <c r="L61" s="66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3.5" customHeight="1" x14ac:dyDescent="0.25">
      <c r="A62" s="175">
        <v>46059</v>
      </c>
      <c r="B62" s="170" t="s">
        <v>133</v>
      </c>
      <c r="C62" s="335">
        <v>10872.99</v>
      </c>
      <c r="D62" s="336"/>
      <c r="E62" s="176">
        <f t="shared" si="0"/>
        <v>1141577.9700000207</v>
      </c>
      <c r="F62" s="173"/>
      <c r="G62" s="174"/>
      <c r="H62" s="177"/>
      <c r="I62" s="197"/>
      <c r="J62" s="174"/>
      <c r="K62" s="178"/>
      <c r="L62" s="66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3.5" customHeight="1" x14ac:dyDescent="0.25">
      <c r="A63" s="175">
        <v>46059</v>
      </c>
      <c r="B63" s="170" t="s">
        <v>134</v>
      </c>
      <c r="C63" s="335">
        <v>14401.8</v>
      </c>
      <c r="D63" s="336"/>
      <c r="E63" s="176">
        <f t="shared" si="0"/>
        <v>1127176.1700000206</v>
      </c>
      <c r="F63" s="174"/>
      <c r="G63" s="174"/>
      <c r="H63" s="174"/>
      <c r="I63" s="174"/>
      <c r="J63" s="174"/>
      <c r="K63" s="178"/>
      <c r="L63" s="66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3.5" customHeight="1" x14ac:dyDescent="0.25">
      <c r="A64" s="175">
        <v>46059</v>
      </c>
      <c r="B64" s="170" t="s">
        <v>135</v>
      </c>
      <c r="C64" s="335">
        <v>32800</v>
      </c>
      <c r="D64" s="336"/>
      <c r="E64" s="176">
        <f t="shared" si="0"/>
        <v>1094376.1700000206</v>
      </c>
      <c r="F64" s="173"/>
      <c r="G64" s="174"/>
      <c r="H64" s="177"/>
      <c r="I64" s="197"/>
      <c r="J64" s="174"/>
      <c r="K64" s="178"/>
      <c r="L64" s="66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3.5" customHeight="1" x14ac:dyDescent="0.25">
      <c r="A65" s="175">
        <v>46059</v>
      </c>
      <c r="B65" s="170" t="s">
        <v>136</v>
      </c>
      <c r="C65" s="335">
        <v>28248</v>
      </c>
      <c r="D65" s="336"/>
      <c r="E65" s="176">
        <f t="shared" si="0"/>
        <v>1066128.1700000206</v>
      </c>
      <c r="F65" s="174"/>
      <c r="G65" s="174"/>
      <c r="H65" s="174"/>
      <c r="I65" s="174"/>
      <c r="J65" s="174"/>
      <c r="K65" s="178"/>
      <c r="L65" s="66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3.5" customHeight="1" x14ac:dyDescent="0.25">
      <c r="A66" s="175">
        <v>46059</v>
      </c>
      <c r="B66" s="170" t="s">
        <v>137</v>
      </c>
      <c r="C66" s="335">
        <v>49310</v>
      </c>
      <c r="D66" s="336"/>
      <c r="E66" s="176">
        <f t="shared" si="0"/>
        <v>1016818.1700000206</v>
      </c>
      <c r="F66" s="174"/>
      <c r="G66" s="174"/>
      <c r="H66" s="174"/>
      <c r="I66" s="174"/>
      <c r="J66" s="174"/>
      <c r="K66" s="178"/>
      <c r="L66" s="66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3.5" customHeight="1" x14ac:dyDescent="0.25">
      <c r="A67" s="175">
        <v>46059</v>
      </c>
      <c r="B67" s="170" t="s">
        <v>138</v>
      </c>
      <c r="C67" s="335">
        <v>21340</v>
      </c>
      <c r="D67" s="336"/>
      <c r="E67" s="176">
        <f t="shared" si="0"/>
        <v>995478.17000002065</v>
      </c>
      <c r="F67" s="174"/>
      <c r="G67" s="174"/>
      <c r="H67" s="174"/>
      <c r="I67" s="174"/>
      <c r="J67" s="174"/>
      <c r="K67" s="178"/>
      <c r="L67" s="66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3.5" customHeight="1" x14ac:dyDescent="0.25">
      <c r="A68" s="175">
        <v>46059</v>
      </c>
      <c r="B68" s="170" t="s">
        <v>139</v>
      </c>
      <c r="C68" s="335">
        <v>2100</v>
      </c>
      <c r="D68" s="336"/>
      <c r="E68" s="176">
        <f t="shared" si="0"/>
        <v>993378.17000002065</v>
      </c>
      <c r="F68" s="174"/>
      <c r="G68" s="174"/>
      <c r="H68" s="174"/>
      <c r="I68" s="174"/>
      <c r="J68" s="174"/>
      <c r="K68" s="178"/>
      <c r="L68" s="66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3.5" customHeight="1" x14ac:dyDescent="0.25">
      <c r="A69" s="175">
        <v>46059</v>
      </c>
      <c r="B69" s="170" t="s">
        <v>140</v>
      </c>
      <c r="C69" s="335">
        <v>9910</v>
      </c>
      <c r="D69" s="336"/>
      <c r="E69" s="176">
        <f t="shared" si="0"/>
        <v>983468.17000002065</v>
      </c>
      <c r="F69" s="173"/>
      <c r="G69" s="174"/>
      <c r="H69" s="177"/>
      <c r="I69" s="197"/>
      <c r="J69" s="174"/>
      <c r="K69" s="178"/>
      <c r="L69" s="66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3.5" customHeight="1" x14ac:dyDescent="0.25">
      <c r="A70" s="175">
        <v>46059</v>
      </c>
      <c r="B70" s="170" t="s">
        <v>141</v>
      </c>
      <c r="C70" s="335">
        <v>5546</v>
      </c>
      <c r="D70" s="336"/>
      <c r="E70" s="176">
        <f t="shared" si="0"/>
        <v>977922.17000002065</v>
      </c>
      <c r="F70" s="173"/>
      <c r="G70" s="174"/>
      <c r="H70" s="177"/>
      <c r="I70" s="197"/>
      <c r="J70" s="174"/>
      <c r="K70" s="178"/>
      <c r="L70" s="66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3.5" customHeight="1" x14ac:dyDescent="0.25">
      <c r="A71" s="175">
        <v>46059</v>
      </c>
      <c r="B71" s="170" t="s">
        <v>142</v>
      </c>
      <c r="C71" s="335">
        <v>14500</v>
      </c>
      <c r="D71" s="336"/>
      <c r="E71" s="176">
        <f t="shared" si="0"/>
        <v>963422.17000002065</v>
      </c>
      <c r="F71" s="174"/>
      <c r="G71" s="174"/>
      <c r="H71" s="174"/>
      <c r="I71" s="174"/>
      <c r="J71" s="174"/>
      <c r="K71" s="178"/>
      <c r="L71" s="66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3.5" customHeight="1" x14ac:dyDescent="0.25">
      <c r="A72" s="175">
        <v>46059</v>
      </c>
      <c r="B72" s="170" t="s">
        <v>143</v>
      </c>
      <c r="C72" s="335">
        <v>2650</v>
      </c>
      <c r="D72" s="336"/>
      <c r="E72" s="176">
        <f t="shared" ref="E72:E135" si="1">E71-C72+D72</f>
        <v>960772.17000002065</v>
      </c>
      <c r="F72" s="174"/>
      <c r="G72" s="174"/>
      <c r="H72" s="174"/>
      <c r="I72" s="174"/>
      <c r="J72" s="174"/>
      <c r="K72" s="178"/>
      <c r="L72" s="66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3.5" customHeight="1" x14ac:dyDescent="0.25">
      <c r="A73" s="175">
        <v>46059</v>
      </c>
      <c r="B73" s="170" t="s">
        <v>144</v>
      </c>
      <c r="C73" s="335">
        <v>9260</v>
      </c>
      <c r="D73" s="336"/>
      <c r="E73" s="176">
        <f t="shared" si="1"/>
        <v>951512.17000002065</v>
      </c>
      <c r="F73" s="173"/>
      <c r="G73" s="174"/>
      <c r="H73" s="177"/>
      <c r="I73" s="189"/>
      <c r="J73" s="174"/>
      <c r="K73" s="178"/>
      <c r="L73" s="66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3.5" customHeight="1" x14ac:dyDescent="0.25">
      <c r="A74" s="175">
        <v>46059</v>
      </c>
      <c r="B74" s="170" t="s">
        <v>145</v>
      </c>
      <c r="C74" s="335">
        <v>19009.77</v>
      </c>
      <c r="D74" s="336"/>
      <c r="E74" s="176">
        <f t="shared" si="1"/>
        <v>932502.40000002063</v>
      </c>
      <c r="F74" s="173"/>
      <c r="G74" s="174"/>
      <c r="H74" s="177"/>
      <c r="I74" s="197"/>
      <c r="J74" s="174"/>
      <c r="K74" s="178"/>
      <c r="L74" s="66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3.5" customHeight="1" x14ac:dyDescent="0.25">
      <c r="A75" s="175">
        <v>46059</v>
      </c>
      <c r="B75" s="170" t="s">
        <v>146</v>
      </c>
      <c r="C75" s="335">
        <v>6900</v>
      </c>
      <c r="D75" s="336"/>
      <c r="E75" s="176">
        <f t="shared" si="1"/>
        <v>925602.40000002063</v>
      </c>
      <c r="F75" s="174"/>
      <c r="G75" s="174"/>
      <c r="H75" s="174"/>
      <c r="I75" s="174"/>
      <c r="J75" s="174"/>
      <c r="K75" s="178"/>
      <c r="L75" s="66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3.5" customHeight="1" x14ac:dyDescent="0.25">
      <c r="A76" s="175">
        <v>46059</v>
      </c>
      <c r="B76" s="170" t="s">
        <v>147</v>
      </c>
      <c r="C76" s="335">
        <v>34760</v>
      </c>
      <c r="D76" s="336"/>
      <c r="E76" s="176">
        <f t="shared" si="1"/>
        <v>890842.40000002063</v>
      </c>
      <c r="F76" s="174"/>
      <c r="G76" s="174"/>
      <c r="H76" s="174"/>
      <c r="I76" s="174"/>
      <c r="J76" s="174"/>
      <c r="K76" s="178"/>
      <c r="L76" s="66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3.5" customHeight="1" x14ac:dyDescent="0.25">
      <c r="A77" s="175">
        <v>46059</v>
      </c>
      <c r="B77" s="170" t="s">
        <v>148</v>
      </c>
      <c r="C77" s="335">
        <v>11942</v>
      </c>
      <c r="D77" s="336"/>
      <c r="E77" s="176">
        <f t="shared" si="1"/>
        <v>878900.40000002063</v>
      </c>
      <c r="F77" s="174"/>
      <c r="G77" s="174"/>
      <c r="H77" s="174"/>
      <c r="I77" s="174"/>
      <c r="J77" s="174"/>
      <c r="K77" s="178"/>
      <c r="L77" s="66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3.5" customHeight="1" x14ac:dyDescent="0.25">
      <c r="A78" s="175">
        <v>46059</v>
      </c>
      <c r="B78" s="170" t="s">
        <v>149</v>
      </c>
      <c r="C78" s="335">
        <v>2262</v>
      </c>
      <c r="D78" s="336"/>
      <c r="E78" s="176">
        <f t="shared" si="1"/>
        <v>876638.40000002063</v>
      </c>
      <c r="F78" s="174"/>
      <c r="G78" s="174"/>
      <c r="H78" s="174"/>
      <c r="I78" s="174"/>
      <c r="J78" s="174"/>
      <c r="K78" s="178"/>
      <c r="L78" s="66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3.5" customHeight="1" x14ac:dyDescent="0.25">
      <c r="A79" s="175">
        <v>46059</v>
      </c>
      <c r="B79" s="170" t="s">
        <v>150</v>
      </c>
      <c r="C79" s="335">
        <v>20077.599999999999</v>
      </c>
      <c r="D79" s="336"/>
      <c r="E79" s="176">
        <f t="shared" si="1"/>
        <v>856560.80000002065</v>
      </c>
      <c r="F79" s="174"/>
      <c r="G79" s="174"/>
      <c r="H79" s="174"/>
      <c r="I79" s="174"/>
      <c r="J79" s="174"/>
      <c r="K79" s="178"/>
      <c r="L79" s="66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3.5" customHeight="1" x14ac:dyDescent="0.25">
      <c r="A80" s="175">
        <v>46059</v>
      </c>
      <c r="B80" s="170" t="s">
        <v>151</v>
      </c>
      <c r="C80" s="335">
        <v>9093.5</v>
      </c>
      <c r="D80" s="336"/>
      <c r="E80" s="176">
        <f t="shared" si="1"/>
        <v>847467.30000002065</v>
      </c>
      <c r="F80" s="174"/>
      <c r="G80" s="174"/>
      <c r="H80" s="174"/>
      <c r="I80" s="174"/>
      <c r="J80" s="174"/>
      <c r="K80" s="178"/>
      <c r="L80" s="66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3.5" customHeight="1" x14ac:dyDescent="0.25">
      <c r="A81" s="175">
        <v>46059</v>
      </c>
      <c r="B81" s="170" t="s">
        <v>152</v>
      </c>
      <c r="C81" s="336"/>
      <c r="D81" s="335">
        <v>3920</v>
      </c>
      <c r="E81" s="176">
        <f t="shared" si="1"/>
        <v>851387.30000002065</v>
      </c>
      <c r="F81" s="174"/>
      <c r="G81" s="174"/>
      <c r="H81" s="174"/>
      <c r="I81" s="174"/>
      <c r="J81" s="174"/>
      <c r="K81" s="178"/>
      <c r="L81" s="66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3.5" customHeight="1" x14ac:dyDescent="0.25">
      <c r="A82" s="175">
        <v>46059</v>
      </c>
      <c r="B82" s="170" t="s">
        <v>153</v>
      </c>
      <c r="C82" s="336"/>
      <c r="D82" s="335">
        <v>6220</v>
      </c>
      <c r="E82" s="176">
        <f t="shared" si="1"/>
        <v>857607.30000002065</v>
      </c>
      <c r="F82" s="173"/>
      <c r="G82" s="199"/>
      <c r="H82" s="192"/>
      <c r="I82" s="197"/>
      <c r="J82" s="174"/>
      <c r="K82" s="178"/>
      <c r="L82" s="66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3.5" customHeight="1" x14ac:dyDescent="0.25">
      <c r="A83" s="175">
        <v>46059</v>
      </c>
      <c r="B83" s="170" t="s">
        <v>154</v>
      </c>
      <c r="C83" s="336"/>
      <c r="D83" s="335">
        <v>8740</v>
      </c>
      <c r="E83" s="176">
        <f t="shared" si="1"/>
        <v>866347.30000002065</v>
      </c>
      <c r="F83" s="174"/>
      <c r="G83" s="174"/>
      <c r="H83" s="174"/>
      <c r="I83" s="192"/>
      <c r="J83" s="174"/>
      <c r="K83" s="178"/>
      <c r="L83" s="66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3.5" customHeight="1" x14ac:dyDescent="0.25">
      <c r="A84" s="175">
        <v>46059</v>
      </c>
      <c r="B84" s="170" t="s">
        <v>155</v>
      </c>
      <c r="C84" s="336"/>
      <c r="D84" s="335">
        <v>8100</v>
      </c>
      <c r="E84" s="176">
        <f t="shared" si="1"/>
        <v>874447.30000002065</v>
      </c>
      <c r="F84" s="174"/>
      <c r="G84" s="174"/>
      <c r="H84" s="174"/>
      <c r="I84" s="174"/>
      <c r="J84" s="174"/>
      <c r="K84" s="178"/>
      <c r="L84" s="66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3.5" customHeight="1" x14ac:dyDescent="0.25">
      <c r="A85" s="175">
        <v>46059</v>
      </c>
      <c r="B85" s="170" t="s">
        <v>156</v>
      </c>
      <c r="C85" s="336"/>
      <c r="D85" s="335">
        <v>3360</v>
      </c>
      <c r="E85" s="176">
        <f t="shared" si="1"/>
        <v>877807.30000002065</v>
      </c>
      <c r="F85" s="173"/>
      <c r="G85" s="173"/>
      <c r="H85" s="173"/>
      <c r="I85" s="173"/>
      <c r="J85" s="174"/>
      <c r="K85" s="178"/>
      <c r="L85" s="66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3.5" customHeight="1" x14ac:dyDescent="0.25">
      <c r="A86" s="175">
        <v>46059</v>
      </c>
      <c r="B86" s="170" t="s">
        <v>157</v>
      </c>
      <c r="C86" s="336"/>
      <c r="D86" s="335">
        <v>12590</v>
      </c>
      <c r="E86" s="176">
        <f t="shared" si="1"/>
        <v>890397.30000002065</v>
      </c>
      <c r="F86" s="173"/>
      <c r="G86" s="174"/>
      <c r="H86" s="177"/>
      <c r="I86" s="197"/>
      <c r="J86" s="174"/>
      <c r="K86" s="178"/>
      <c r="L86" s="66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3.5" customHeight="1" x14ac:dyDescent="0.25">
      <c r="A87" s="175">
        <v>46059</v>
      </c>
      <c r="B87" s="170" t="s">
        <v>158</v>
      </c>
      <c r="C87" s="336"/>
      <c r="D87" s="335">
        <v>2500</v>
      </c>
      <c r="E87" s="176">
        <f t="shared" si="1"/>
        <v>892897.30000002065</v>
      </c>
      <c r="F87" s="173"/>
      <c r="G87" s="174"/>
      <c r="H87" s="177"/>
      <c r="I87" s="197"/>
      <c r="J87" s="174"/>
      <c r="K87" s="178"/>
      <c r="L87" s="66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3.5" customHeight="1" x14ac:dyDescent="0.25">
      <c r="A88" s="175">
        <v>46059</v>
      </c>
      <c r="B88" s="170" t="s">
        <v>159</v>
      </c>
      <c r="C88" s="336"/>
      <c r="D88" s="335">
        <v>700000</v>
      </c>
      <c r="E88" s="176">
        <f t="shared" si="1"/>
        <v>1592897.3000000208</v>
      </c>
      <c r="F88" s="174"/>
      <c r="G88" s="174"/>
      <c r="H88" s="174"/>
      <c r="I88" s="174"/>
      <c r="J88" s="174"/>
      <c r="K88" s="178"/>
      <c r="L88" s="66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3.5" customHeight="1" x14ac:dyDescent="0.25">
      <c r="A89" s="175">
        <v>46059</v>
      </c>
      <c r="B89" s="170" t="s">
        <v>160</v>
      </c>
      <c r="C89" s="335">
        <v>10160</v>
      </c>
      <c r="D89" s="336"/>
      <c r="E89" s="176">
        <f t="shared" si="1"/>
        <v>1582737.3000000208</v>
      </c>
      <c r="F89" s="174"/>
      <c r="G89" s="174"/>
      <c r="H89" s="174"/>
      <c r="I89" s="174"/>
      <c r="J89" s="174"/>
      <c r="K89" s="178"/>
      <c r="L89" s="66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3.5" customHeight="1" x14ac:dyDescent="0.25">
      <c r="A90" s="175">
        <v>46059</v>
      </c>
      <c r="B90" s="170" t="s">
        <v>161</v>
      </c>
      <c r="C90" s="335">
        <v>183609.96</v>
      </c>
      <c r="D90" s="336"/>
      <c r="E90" s="176">
        <f t="shared" si="1"/>
        <v>1399127.3400000208</v>
      </c>
      <c r="F90" s="174"/>
      <c r="G90" s="174"/>
      <c r="H90" s="174"/>
      <c r="I90" s="174"/>
      <c r="J90" s="174"/>
      <c r="K90" s="178"/>
      <c r="L90" s="66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3.5" customHeight="1" x14ac:dyDescent="0.25">
      <c r="A91" s="175">
        <v>46059</v>
      </c>
      <c r="B91" s="170" t="s">
        <v>162</v>
      </c>
      <c r="C91" s="335">
        <v>352020</v>
      </c>
      <c r="D91" s="336"/>
      <c r="E91" s="176">
        <f t="shared" si="1"/>
        <v>1047107.3400000208</v>
      </c>
      <c r="F91" s="173"/>
      <c r="G91" s="199"/>
      <c r="H91" s="203"/>
      <c r="I91" s="178"/>
      <c r="J91" s="174"/>
      <c r="K91" s="178"/>
      <c r="L91" s="66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3.5" customHeight="1" x14ac:dyDescent="0.25">
      <c r="A92" s="175">
        <v>46059</v>
      </c>
      <c r="B92" s="170" t="s">
        <v>163</v>
      </c>
      <c r="C92" s="335">
        <v>47477</v>
      </c>
      <c r="D92" s="336"/>
      <c r="E92" s="176">
        <f t="shared" si="1"/>
        <v>999630.34000002081</v>
      </c>
      <c r="F92" s="174"/>
      <c r="G92" s="174"/>
      <c r="H92" s="174"/>
      <c r="I92" s="174"/>
      <c r="J92" s="174"/>
      <c r="K92" s="178"/>
      <c r="L92" s="66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3.5" customHeight="1" x14ac:dyDescent="0.25">
      <c r="A93" s="175">
        <v>46059</v>
      </c>
      <c r="B93" s="170" t="s">
        <v>164</v>
      </c>
      <c r="C93" s="335">
        <v>13063.8</v>
      </c>
      <c r="D93" s="336"/>
      <c r="E93" s="176">
        <f t="shared" si="1"/>
        <v>986566.54000002076</v>
      </c>
      <c r="F93" s="174"/>
      <c r="G93" s="174"/>
      <c r="H93" s="174"/>
      <c r="I93" s="174"/>
      <c r="J93" s="174"/>
      <c r="K93" s="178"/>
      <c r="L93" s="66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3.5" customHeight="1" x14ac:dyDescent="0.25">
      <c r="A94" s="175">
        <v>46059</v>
      </c>
      <c r="B94" s="170" t="s">
        <v>165</v>
      </c>
      <c r="C94" s="335">
        <v>252970.5</v>
      </c>
      <c r="D94" s="336"/>
      <c r="E94" s="176">
        <f t="shared" si="1"/>
        <v>733596.04000002076</v>
      </c>
      <c r="F94" s="174"/>
      <c r="G94" s="174"/>
      <c r="H94" s="174"/>
      <c r="I94" s="174"/>
      <c r="J94" s="174"/>
      <c r="K94" s="178"/>
      <c r="L94" s="66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3.5" customHeight="1" x14ac:dyDescent="0.25">
      <c r="A95" s="175">
        <v>46059</v>
      </c>
      <c r="B95" s="170" t="s">
        <v>166</v>
      </c>
      <c r="C95" s="335">
        <v>12201.67</v>
      </c>
      <c r="D95" s="336"/>
      <c r="E95" s="176">
        <f t="shared" si="1"/>
        <v>721394.37000002072</v>
      </c>
      <c r="F95" s="173"/>
      <c r="G95" s="199"/>
      <c r="H95" s="203"/>
      <c r="I95" s="178"/>
      <c r="J95" s="174"/>
      <c r="K95" s="178"/>
      <c r="L95" s="66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3.5" customHeight="1" x14ac:dyDescent="0.25">
      <c r="A96" s="175">
        <v>46059</v>
      </c>
      <c r="B96" s="170" t="s">
        <v>167</v>
      </c>
      <c r="C96" s="335">
        <v>7803</v>
      </c>
      <c r="D96" s="336"/>
      <c r="E96" s="176">
        <f t="shared" si="1"/>
        <v>713591.37000002072</v>
      </c>
      <c r="F96" s="174"/>
      <c r="G96" s="174"/>
      <c r="H96" s="174"/>
      <c r="I96" s="174"/>
      <c r="J96" s="174"/>
      <c r="K96" s="178"/>
      <c r="L96" s="66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3.5" customHeight="1" x14ac:dyDescent="0.25">
      <c r="A97" s="175">
        <v>46059</v>
      </c>
      <c r="B97" s="170" t="s">
        <v>168</v>
      </c>
      <c r="C97" s="335">
        <v>92250</v>
      </c>
      <c r="D97" s="336"/>
      <c r="E97" s="176">
        <f t="shared" si="1"/>
        <v>621341.37000002072</v>
      </c>
      <c r="F97" s="174"/>
      <c r="G97" s="174"/>
      <c r="H97" s="174"/>
      <c r="I97" s="174"/>
      <c r="J97" s="174"/>
      <c r="K97" s="178"/>
      <c r="L97" s="66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3.5" customHeight="1" x14ac:dyDescent="0.25">
      <c r="A98" s="175">
        <v>46059</v>
      </c>
      <c r="B98" s="170" t="s">
        <v>169</v>
      </c>
      <c r="C98" s="335">
        <v>31000</v>
      </c>
      <c r="D98" s="336"/>
      <c r="E98" s="176">
        <f t="shared" si="1"/>
        <v>590341.37000002072</v>
      </c>
      <c r="F98" s="174"/>
      <c r="G98" s="174"/>
      <c r="H98" s="174"/>
      <c r="I98" s="174"/>
      <c r="J98" s="174"/>
      <c r="K98" s="178"/>
      <c r="L98" s="66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3.5" customHeight="1" x14ac:dyDescent="0.25">
      <c r="A99" s="175">
        <v>46059</v>
      </c>
      <c r="B99" s="170" t="s">
        <v>170</v>
      </c>
      <c r="C99" s="335">
        <v>12214.8</v>
      </c>
      <c r="D99" s="336"/>
      <c r="E99" s="176">
        <f t="shared" si="1"/>
        <v>578126.57000002067</v>
      </c>
      <c r="F99" s="174"/>
      <c r="G99" s="174"/>
      <c r="H99" s="174"/>
      <c r="I99" s="174"/>
      <c r="J99" s="174"/>
      <c r="K99" s="178"/>
      <c r="L99" s="66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3.5" customHeight="1" x14ac:dyDescent="0.25">
      <c r="A100" s="175">
        <v>46059</v>
      </c>
      <c r="B100" s="170" t="s">
        <v>171</v>
      </c>
      <c r="C100" s="335">
        <v>3388</v>
      </c>
      <c r="D100" s="336"/>
      <c r="E100" s="176">
        <f t="shared" si="1"/>
        <v>574738.57000002067</v>
      </c>
      <c r="F100" s="174"/>
      <c r="G100" s="174"/>
      <c r="H100" s="174"/>
      <c r="I100" s="174"/>
      <c r="J100" s="174"/>
      <c r="K100" s="178"/>
      <c r="L100" s="66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3.5" customHeight="1" x14ac:dyDescent="0.25">
      <c r="A101" s="175">
        <v>46059</v>
      </c>
      <c r="B101" s="170" t="s">
        <v>172</v>
      </c>
      <c r="C101" s="335">
        <v>1119.6400000000001</v>
      </c>
      <c r="D101" s="336"/>
      <c r="E101" s="176">
        <f t="shared" si="1"/>
        <v>573618.93000002066</v>
      </c>
      <c r="F101" s="174"/>
      <c r="G101" s="174"/>
      <c r="H101" s="174"/>
      <c r="I101" s="174"/>
      <c r="J101" s="174"/>
      <c r="K101" s="178"/>
      <c r="L101" s="66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3.5" customHeight="1" x14ac:dyDescent="0.25">
      <c r="A102" s="175">
        <v>46059</v>
      </c>
      <c r="B102" s="170" t="s">
        <v>173</v>
      </c>
      <c r="C102" s="335">
        <v>2480</v>
      </c>
      <c r="D102" s="336"/>
      <c r="E102" s="176">
        <f t="shared" si="1"/>
        <v>571138.93000002066</v>
      </c>
      <c r="F102" s="174"/>
      <c r="G102" s="174"/>
      <c r="H102" s="174"/>
      <c r="I102" s="174"/>
      <c r="J102" s="174"/>
      <c r="K102" s="178"/>
      <c r="L102" s="66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3.5" customHeight="1" x14ac:dyDescent="0.25">
      <c r="A103" s="175">
        <v>46059</v>
      </c>
      <c r="B103" s="170" t="s">
        <v>174</v>
      </c>
      <c r="C103" s="335">
        <v>1290</v>
      </c>
      <c r="D103" s="336"/>
      <c r="E103" s="176">
        <f t="shared" si="1"/>
        <v>569848.93000002066</v>
      </c>
      <c r="F103" s="174"/>
      <c r="G103" s="174"/>
      <c r="H103" s="174"/>
      <c r="I103" s="174"/>
      <c r="J103" s="174"/>
      <c r="K103" s="178"/>
      <c r="L103" s="66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3.5" customHeight="1" x14ac:dyDescent="0.25">
      <c r="A104" s="175">
        <v>46059</v>
      </c>
      <c r="B104" s="170" t="s">
        <v>175</v>
      </c>
      <c r="C104" s="335">
        <v>25028.99</v>
      </c>
      <c r="D104" s="336"/>
      <c r="E104" s="176">
        <f t="shared" si="1"/>
        <v>544819.94000002067</v>
      </c>
      <c r="F104" s="174"/>
      <c r="G104" s="174"/>
      <c r="H104" s="174"/>
      <c r="I104" s="174"/>
      <c r="J104" s="174"/>
      <c r="K104" s="178"/>
      <c r="L104" s="66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3.5" customHeight="1" x14ac:dyDescent="0.25">
      <c r="A105" s="175">
        <v>46059</v>
      </c>
      <c r="B105" s="170" t="s">
        <v>176</v>
      </c>
      <c r="C105" s="335">
        <v>13010</v>
      </c>
      <c r="D105" s="336"/>
      <c r="E105" s="176">
        <f t="shared" si="1"/>
        <v>531809.94000002067</v>
      </c>
      <c r="F105" s="173"/>
      <c r="G105" s="199"/>
      <c r="H105" s="192"/>
      <c r="I105" s="197"/>
      <c r="J105" s="174"/>
      <c r="K105" s="178"/>
      <c r="L105" s="66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3.5" customHeight="1" x14ac:dyDescent="0.25">
      <c r="A106" s="175">
        <v>46059</v>
      </c>
      <c r="B106" s="170" t="s">
        <v>177</v>
      </c>
      <c r="C106" s="335">
        <v>1190.7</v>
      </c>
      <c r="D106" s="336"/>
      <c r="E106" s="176">
        <f t="shared" si="1"/>
        <v>530619.24000002071</v>
      </c>
      <c r="F106" s="173"/>
      <c r="G106" s="199"/>
      <c r="H106" s="192"/>
      <c r="I106" s="197"/>
      <c r="J106" s="174"/>
      <c r="K106" s="178"/>
      <c r="L106" s="66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3.5" customHeight="1" x14ac:dyDescent="0.25">
      <c r="A107" s="175">
        <v>46059</v>
      </c>
      <c r="B107" s="170" t="s">
        <v>178</v>
      </c>
      <c r="C107" s="335">
        <v>4332.3999999999996</v>
      </c>
      <c r="D107" s="336"/>
      <c r="E107" s="176">
        <f t="shared" si="1"/>
        <v>526286.84000002069</v>
      </c>
      <c r="F107" s="174"/>
      <c r="G107" s="174"/>
      <c r="H107" s="174"/>
      <c r="I107" s="174"/>
      <c r="J107" s="174"/>
      <c r="K107" s="178"/>
      <c r="L107" s="66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3.5" customHeight="1" x14ac:dyDescent="0.25">
      <c r="A108" s="175">
        <v>46059</v>
      </c>
      <c r="B108" s="170" t="s">
        <v>179</v>
      </c>
      <c r="C108" s="335">
        <v>600</v>
      </c>
      <c r="D108" s="336"/>
      <c r="E108" s="176">
        <f t="shared" si="1"/>
        <v>525686.84000002069</v>
      </c>
      <c r="F108" s="174"/>
      <c r="G108" s="174"/>
      <c r="H108" s="174"/>
      <c r="I108" s="174"/>
      <c r="J108" s="174"/>
      <c r="K108" s="178"/>
      <c r="L108" s="66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3.5" customHeight="1" x14ac:dyDescent="0.25">
      <c r="A109" s="175">
        <v>46059</v>
      </c>
      <c r="B109" s="170" t="s">
        <v>180</v>
      </c>
      <c r="C109" s="335">
        <v>7440</v>
      </c>
      <c r="D109" s="336"/>
      <c r="E109" s="176">
        <f t="shared" si="1"/>
        <v>518246.84000002069</v>
      </c>
      <c r="F109" s="173"/>
      <c r="G109" s="199"/>
      <c r="H109" s="192"/>
      <c r="I109" s="197"/>
      <c r="J109" s="174"/>
      <c r="K109" s="178"/>
      <c r="L109" s="66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3.5" customHeight="1" x14ac:dyDescent="0.25">
      <c r="A110" s="175">
        <v>46059</v>
      </c>
      <c r="B110" s="170" t="s">
        <v>181</v>
      </c>
      <c r="C110" s="335">
        <v>6840</v>
      </c>
      <c r="D110" s="336"/>
      <c r="E110" s="176">
        <f t="shared" si="1"/>
        <v>511406.84000002069</v>
      </c>
      <c r="F110" s="173"/>
      <c r="G110" s="199"/>
      <c r="H110" s="192"/>
      <c r="I110" s="197"/>
      <c r="J110" s="174"/>
      <c r="K110" s="178"/>
      <c r="L110" s="66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3.5" customHeight="1" x14ac:dyDescent="0.25">
      <c r="A111" s="175">
        <v>46059</v>
      </c>
      <c r="B111" s="170" t="s">
        <v>182</v>
      </c>
      <c r="C111" s="335">
        <v>960</v>
      </c>
      <c r="D111" s="336"/>
      <c r="E111" s="176">
        <f t="shared" si="1"/>
        <v>510446.84000002069</v>
      </c>
      <c r="F111" s="174"/>
      <c r="G111" s="174"/>
      <c r="H111" s="174"/>
      <c r="I111" s="174"/>
      <c r="J111" s="174"/>
      <c r="K111" s="178"/>
      <c r="L111" s="66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3.5" customHeight="1" x14ac:dyDescent="0.25">
      <c r="A112" s="175">
        <v>46059</v>
      </c>
      <c r="B112" s="170" t="s">
        <v>183</v>
      </c>
      <c r="C112" s="335">
        <v>5536.93</v>
      </c>
      <c r="D112" s="336"/>
      <c r="E112" s="176">
        <f t="shared" si="1"/>
        <v>504909.9100000207</v>
      </c>
      <c r="F112" s="174"/>
      <c r="G112" s="174"/>
      <c r="H112" s="174"/>
      <c r="I112" s="174"/>
      <c r="J112" s="174"/>
      <c r="K112" s="178"/>
      <c r="L112" s="66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3.5" customHeight="1" x14ac:dyDescent="0.25">
      <c r="A113" s="175">
        <v>46059</v>
      </c>
      <c r="B113" s="170" t="s">
        <v>184</v>
      </c>
      <c r="C113" s="335">
        <v>16261.76</v>
      </c>
      <c r="D113" s="336"/>
      <c r="E113" s="176">
        <f t="shared" si="1"/>
        <v>488648.15000002069</v>
      </c>
      <c r="F113" s="174"/>
      <c r="G113" s="174"/>
      <c r="H113" s="174"/>
      <c r="I113" s="174"/>
      <c r="J113" s="174"/>
      <c r="K113" s="178"/>
      <c r="L113" s="66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3.5" customHeight="1" x14ac:dyDescent="0.25">
      <c r="A114" s="175">
        <v>46059</v>
      </c>
      <c r="B114" s="170" t="s">
        <v>185</v>
      </c>
      <c r="C114" s="335">
        <v>34187.199999999997</v>
      </c>
      <c r="D114" s="336"/>
      <c r="E114" s="176">
        <f t="shared" si="1"/>
        <v>454460.95000002068</v>
      </c>
      <c r="F114" s="173"/>
      <c r="G114" s="174"/>
      <c r="H114" s="177"/>
      <c r="I114" s="197"/>
      <c r="J114" s="174"/>
      <c r="K114" s="178"/>
      <c r="L114" s="66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3.5" customHeight="1" x14ac:dyDescent="0.25">
      <c r="A115" s="175">
        <v>46059</v>
      </c>
      <c r="B115" s="170" t="s">
        <v>186</v>
      </c>
      <c r="C115" s="335">
        <v>31544.5</v>
      </c>
      <c r="D115" s="336"/>
      <c r="E115" s="176">
        <f t="shared" si="1"/>
        <v>422916.45000002068</v>
      </c>
      <c r="F115" s="174"/>
      <c r="G115" s="174"/>
      <c r="H115" s="174"/>
      <c r="I115" s="174"/>
      <c r="J115" s="174"/>
      <c r="K115" s="178"/>
      <c r="L115" s="66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3.5" customHeight="1" x14ac:dyDescent="0.25">
      <c r="A116" s="175">
        <v>46059</v>
      </c>
      <c r="B116" s="170" t="s">
        <v>187</v>
      </c>
      <c r="C116" s="335">
        <v>1250</v>
      </c>
      <c r="D116" s="336"/>
      <c r="E116" s="176">
        <f t="shared" si="1"/>
        <v>421666.45000002068</v>
      </c>
      <c r="F116" s="174"/>
      <c r="G116" s="174"/>
      <c r="H116" s="174"/>
      <c r="I116" s="174"/>
      <c r="J116" s="174"/>
      <c r="K116" s="178"/>
      <c r="L116" s="66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3.5" customHeight="1" x14ac:dyDescent="0.25">
      <c r="A117" s="175">
        <v>46059</v>
      </c>
      <c r="B117" s="170" t="s">
        <v>188</v>
      </c>
      <c r="C117" s="335">
        <v>2235.6</v>
      </c>
      <c r="D117" s="336"/>
      <c r="E117" s="176">
        <f t="shared" si="1"/>
        <v>419430.8500000207</v>
      </c>
      <c r="F117" s="174"/>
      <c r="G117" s="174"/>
      <c r="H117" s="174"/>
      <c r="I117" s="174"/>
      <c r="J117" s="174"/>
      <c r="K117" s="178"/>
      <c r="L117" s="66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3.5" customHeight="1" x14ac:dyDescent="0.25">
      <c r="A118" s="175">
        <v>46059</v>
      </c>
      <c r="B118" s="170" t="s">
        <v>189</v>
      </c>
      <c r="C118" s="335">
        <v>15792.03</v>
      </c>
      <c r="D118" s="336"/>
      <c r="E118" s="176">
        <f t="shared" si="1"/>
        <v>403638.82000002067</v>
      </c>
      <c r="F118" s="174"/>
      <c r="G118" s="174"/>
      <c r="H118" s="174"/>
      <c r="I118" s="174"/>
      <c r="J118" s="174"/>
      <c r="K118" s="178"/>
      <c r="L118" s="66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3.5" customHeight="1" x14ac:dyDescent="0.25">
      <c r="A119" s="175">
        <v>46059</v>
      </c>
      <c r="B119" s="170" t="s">
        <v>190</v>
      </c>
      <c r="C119" s="335">
        <v>44749.599999999999</v>
      </c>
      <c r="D119" s="336"/>
      <c r="E119" s="176">
        <f t="shared" si="1"/>
        <v>358889.22000002069</v>
      </c>
      <c r="F119" s="174"/>
      <c r="G119" s="174"/>
      <c r="H119" s="174"/>
      <c r="I119" s="174"/>
      <c r="J119" s="174"/>
      <c r="K119" s="178"/>
      <c r="L119" s="66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3.5" customHeight="1" x14ac:dyDescent="0.25">
      <c r="A120" s="175">
        <v>46059</v>
      </c>
      <c r="B120" s="170" t="s">
        <v>191</v>
      </c>
      <c r="C120" s="335">
        <v>667.24</v>
      </c>
      <c r="D120" s="336"/>
      <c r="E120" s="176">
        <f t="shared" si="1"/>
        <v>358221.9800000207</v>
      </c>
      <c r="F120" s="174"/>
      <c r="G120" s="174"/>
      <c r="H120" s="174"/>
      <c r="I120" s="174"/>
      <c r="J120" s="174"/>
      <c r="K120" s="178"/>
      <c r="L120" s="66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3.5" customHeight="1" x14ac:dyDescent="0.25">
      <c r="A121" s="175">
        <v>46059</v>
      </c>
      <c r="B121" s="170" t="s">
        <v>192</v>
      </c>
      <c r="C121" s="335">
        <v>2436</v>
      </c>
      <c r="D121" s="336"/>
      <c r="E121" s="176">
        <f t="shared" si="1"/>
        <v>355785.9800000207</v>
      </c>
      <c r="F121" s="174"/>
      <c r="G121" s="174"/>
      <c r="H121" s="174"/>
      <c r="I121" s="174"/>
      <c r="J121" s="174"/>
      <c r="K121" s="178"/>
      <c r="L121" s="66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3.5" customHeight="1" x14ac:dyDescent="0.25">
      <c r="A122" s="175">
        <v>46059</v>
      </c>
      <c r="B122" s="170" t="s">
        <v>193</v>
      </c>
      <c r="C122" s="335">
        <v>10161</v>
      </c>
      <c r="D122" s="336"/>
      <c r="E122" s="176">
        <f t="shared" si="1"/>
        <v>345624.9800000207</v>
      </c>
      <c r="F122" s="174"/>
      <c r="G122" s="174"/>
      <c r="H122" s="174"/>
      <c r="I122" s="174"/>
      <c r="J122" s="174"/>
      <c r="K122" s="178"/>
      <c r="L122" s="66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3.5" customHeight="1" x14ac:dyDescent="0.25">
      <c r="A123" s="175">
        <v>46059</v>
      </c>
      <c r="B123" s="170" t="s">
        <v>194</v>
      </c>
      <c r="C123" s="335">
        <v>2900</v>
      </c>
      <c r="D123" s="336"/>
      <c r="E123" s="176">
        <f t="shared" si="1"/>
        <v>342724.9800000207</v>
      </c>
      <c r="F123" s="174"/>
      <c r="G123" s="174"/>
      <c r="H123" s="174"/>
      <c r="I123" s="174"/>
      <c r="J123" s="174"/>
      <c r="K123" s="178"/>
      <c r="L123" s="66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3.5" customHeight="1" x14ac:dyDescent="0.25">
      <c r="A124" s="175">
        <v>46059</v>
      </c>
      <c r="B124" s="170" t="s">
        <v>195</v>
      </c>
      <c r="C124" s="335">
        <v>1804.84</v>
      </c>
      <c r="D124" s="336"/>
      <c r="E124" s="176">
        <f t="shared" si="1"/>
        <v>340920.14000002068</v>
      </c>
      <c r="F124" s="174"/>
      <c r="G124" s="174"/>
      <c r="H124" s="174"/>
      <c r="I124" s="174"/>
      <c r="J124" s="174"/>
      <c r="K124" s="178"/>
      <c r="L124" s="66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3.5" customHeight="1" x14ac:dyDescent="0.25">
      <c r="A125" s="175">
        <v>46059</v>
      </c>
      <c r="B125" s="170" t="s">
        <v>196</v>
      </c>
      <c r="C125" s="335">
        <v>11711.08</v>
      </c>
      <c r="D125" s="336"/>
      <c r="E125" s="176">
        <f t="shared" si="1"/>
        <v>329209.06000002066</v>
      </c>
      <c r="F125" s="174"/>
      <c r="G125" s="174"/>
      <c r="H125" s="174"/>
      <c r="I125" s="174"/>
      <c r="J125" s="174"/>
      <c r="K125" s="178"/>
      <c r="L125" s="66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3.5" customHeight="1" x14ac:dyDescent="0.25">
      <c r="A126" s="175">
        <v>46059</v>
      </c>
      <c r="B126" s="170" t="s">
        <v>197</v>
      </c>
      <c r="C126" s="335">
        <v>129475.8</v>
      </c>
      <c r="D126" s="336"/>
      <c r="E126" s="176">
        <f t="shared" si="1"/>
        <v>199733.26000002067</v>
      </c>
      <c r="F126" s="174"/>
      <c r="G126" s="174"/>
      <c r="H126" s="174"/>
      <c r="I126" s="174"/>
      <c r="J126" s="174"/>
      <c r="K126" s="178"/>
      <c r="L126" s="66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3.5" customHeight="1" x14ac:dyDescent="0.25">
      <c r="A127" s="175">
        <v>46059</v>
      </c>
      <c r="B127" s="170" t="s">
        <v>198</v>
      </c>
      <c r="C127" s="335">
        <v>1038</v>
      </c>
      <c r="D127" s="336"/>
      <c r="E127" s="176">
        <f t="shared" si="1"/>
        <v>198695.26000002067</v>
      </c>
      <c r="F127" s="174"/>
      <c r="G127" s="174"/>
      <c r="H127" s="174"/>
      <c r="I127" s="174"/>
      <c r="J127" s="174"/>
      <c r="K127" s="178"/>
      <c r="L127" s="66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3.5" customHeight="1" x14ac:dyDescent="0.25">
      <c r="A128" s="175">
        <v>46059</v>
      </c>
      <c r="B128" s="170" t="s">
        <v>199</v>
      </c>
      <c r="C128" s="335">
        <v>320.32</v>
      </c>
      <c r="D128" s="336"/>
      <c r="E128" s="176">
        <f t="shared" si="1"/>
        <v>198374.94000002067</v>
      </c>
      <c r="F128" s="174"/>
      <c r="G128" s="174"/>
      <c r="H128" s="174"/>
      <c r="I128" s="174"/>
      <c r="J128" s="174"/>
      <c r="K128" s="178"/>
      <c r="L128" s="66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3.5" customHeight="1" x14ac:dyDescent="0.25">
      <c r="A129" s="175">
        <v>46062</v>
      </c>
      <c r="B129" s="170" t="s">
        <v>99</v>
      </c>
      <c r="C129" s="335">
        <v>3000</v>
      </c>
      <c r="D129" s="336"/>
      <c r="E129" s="176">
        <f t="shared" si="1"/>
        <v>195374.94000002067</v>
      </c>
      <c r="F129" s="174"/>
      <c r="G129" s="174"/>
      <c r="H129" s="174"/>
      <c r="I129" s="174"/>
      <c r="J129" s="174"/>
      <c r="K129" s="178"/>
      <c r="L129" s="66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3.5" customHeight="1" x14ac:dyDescent="0.25">
      <c r="A130" s="175">
        <v>46062</v>
      </c>
      <c r="B130" s="170" t="s">
        <v>62</v>
      </c>
      <c r="C130" s="335">
        <v>131395</v>
      </c>
      <c r="D130" s="336"/>
      <c r="E130" s="176">
        <f t="shared" si="1"/>
        <v>63979.940000020666</v>
      </c>
      <c r="F130" s="174"/>
      <c r="G130" s="174"/>
      <c r="H130" s="174"/>
      <c r="I130" s="174"/>
      <c r="J130" s="174"/>
      <c r="K130" s="178"/>
      <c r="L130" s="66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3.5" customHeight="1" x14ac:dyDescent="0.25">
      <c r="A131" s="175">
        <v>46062</v>
      </c>
      <c r="B131" s="170" t="s">
        <v>201</v>
      </c>
      <c r="C131" s="336"/>
      <c r="D131" s="335">
        <v>320734</v>
      </c>
      <c r="E131" s="176">
        <f t="shared" si="1"/>
        <v>384713.94000002067</v>
      </c>
      <c r="F131" s="173"/>
      <c r="G131" s="174"/>
      <c r="H131" s="177"/>
      <c r="I131" s="197"/>
      <c r="J131" s="174"/>
      <c r="K131" s="178"/>
      <c r="L131" s="66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3.5" customHeight="1" x14ac:dyDescent="0.25">
      <c r="A132" s="175">
        <v>46062</v>
      </c>
      <c r="B132" s="170" t="s">
        <v>202</v>
      </c>
      <c r="C132" s="335">
        <v>93880.17</v>
      </c>
      <c r="D132" s="336"/>
      <c r="E132" s="176">
        <f t="shared" si="1"/>
        <v>290833.77000002068</v>
      </c>
      <c r="F132" s="174"/>
      <c r="G132" s="174"/>
      <c r="H132" s="174"/>
      <c r="I132" s="174"/>
      <c r="J132" s="174"/>
      <c r="K132" s="178"/>
      <c r="L132" s="66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3.5" customHeight="1" x14ac:dyDescent="0.25">
      <c r="A133" s="175">
        <v>46062</v>
      </c>
      <c r="B133" s="170" t="s">
        <v>203</v>
      </c>
      <c r="C133" s="336"/>
      <c r="D133" s="335">
        <v>247092</v>
      </c>
      <c r="E133" s="176">
        <f t="shared" si="1"/>
        <v>537925.77000002074</v>
      </c>
      <c r="F133" s="173"/>
      <c r="G133" s="174"/>
      <c r="H133" s="177"/>
      <c r="I133" s="197"/>
      <c r="J133" s="174"/>
      <c r="K133" s="178"/>
      <c r="L133" s="66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3.5" customHeight="1" x14ac:dyDescent="0.25">
      <c r="A134" s="175">
        <v>46062</v>
      </c>
      <c r="B134" s="170" t="s">
        <v>204</v>
      </c>
      <c r="C134" s="336"/>
      <c r="D134" s="335">
        <v>6630</v>
      </c>
      <c r="E134" s="176">
        <f t="shared" si="1"/>
        <v>544555.77000002074</v>
      </c>
      <c r="F134" s="174"/>
      <c r="G134" s="174"/>
      <c r="H134" s="174"/>
      <c r="I134" s="174"/>
      <c r="J134" s="174"/>
      <c r="K134" s="178"/>
      <c r="L134" s="66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3.5" customHeight="1" x14ac:dyDescent="0.25">
      <c r="A135" s="175">
        <v>46062</v>
      </c>
      <c r="B135" s="170" t="s">
        <v>205</v>
      </c>
      <c r="C135" s="335">
        <v>2122.15</v>
      </c>
      <c r="D135" s="336"/>
      <c r="E135" s="176">
        <f t="shared" si="1"/>
        <v>542433.62000002072</v>
      </c>
      <c r="F135" s="174"/>
      <c r="G135" s="174"/>
      <c r="H135" s="174"/>
      <c r="I135" s="174"/>
      <c r="J135" s="174"/>
      <c r="K135" s="178"/>
      <c r="L135" s="66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3.5" customHeight="1" x14ac:dyDescent="0.25">
      <c r="A136" s="175">
        <v>46062</v>
      </c>
      <c r="B136" s="170" t="s">
        <v>206</v>
      </c>
      <c r="C136" s="335">
        <v>8580</v>
      </c>
      <c r="D136" s="336"/>
      <c r="E136" s="176">
        <f t="shared" ref="E136:E199" si="2">E135-C136+D136</f>
        <v>533853.62000002072</v>
      </c>
      <c r="F136" s="174"/>
      <c r="G136" s="174"/>
      <c r="H136" s="174"/>
      <c r="I136" s="174"/>
      <c r="J136" s="174"/>
      <c r="K136" s="178"/>
      <c r="L136" s="66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3.5" customHeight="1" x14ac:dyDescent="0.25">
      <c r="A137" s="175">
        <v>46062</v>
      </c>
      <c r="B137" s="170" t="s">
        <v>207</v>
      </c>
      <c r="C137" s="335">
        <v>3845.97</v>
      </c>
      <c r="D137" s="336"/>
      <c r="E137" s="176">
        <f t="shared" si="2"/>
        <v>530007.65000002075</v>
      </c>
      <c r="F137" s="174"/>
      <c r="G137" s="174"/>
      <c r="H137" s="174"/>
      <c r="I137" s="174"/>
      <c r="J137" s="174"/>
      <c r="K137" s="178"/>
      <c r="L137" s="66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3.5" customHeight="1" x14ac:dyDescent="0.25">
      <c r="A138" s="175">
        <v>46062</v>
      </c>
      <c r="B138" s="170" t="s">
        <v>208</v>
      </c>
      <c r="C138" s="335">
        <v>26173.200000000001</v>
      </c>
      <c r="D138" s="336"/>
      <c r="E138" s="176">
        <f t="shared" si="2"/>
        <v>503834.45000002073</v>
      </c>
      <c r="F138" s="174"/>
      <c r="G138" s="174"/>
      <c r="H138" s="174"/>
      <c r="I138" s="174"/>
      <c r="J138" s="174"/>
      <c r="K138" s="178"/>
      <c r="L138" s="66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3.5" customHeight="1" x14ac:dyDescent="0.25">
      <c r="A139" s="175">
        <v>46062</v>
      </c>
      <c r="B139" s="170" t="s">
        <v>209</v>
      </c>
      <c r="C139" s="335">
        <v>2019.39</v>
      </c>
      <c r="D139" s="336"/>
      <c r="E139" s="176">
        <f t="shared" si="2"/>
        <v>501815.06000002072</v>
      </c>
      <c r="F139" s="173"/>
      <c r="G139" s="174"/>
      <c r="H139" s="177"/>
      <c r="I139" s="197"/>
      <c r="J139" s="174"/>
      <c r="K139" s="178"/>
      <c r="L139" s="66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3.5" customHeight="1" x14ac:dyDescent="0.25">
      <c r="A140" s="175">
        <v>46062</v>
      </c>
      <c r="B140" s="170" t="s">
        <v>210</v>
      </c>
      <c r="C140" s="335">
        <v>1291.3900000000001</v>
      </c>
      <c r="D140" s="336"/>
      <c r="E140" s="176">
        <f t="shared" si="2"/>
        <v>500523.67000002071</v>
      </c>
      <c r="F140" s="174"/>
      <c r="G140" s="174"/>
      <c r="H140" s="174"/>
      <c r="I140" s="174"/>
      <c r="J140" s="174"/>
      <c r="K140" s="178"/>
      <c r="L140" s="66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3.5" customHeight="1" x14ac:dyDescent="0.25">
      <c r="A141" s="175">
        <v>46062</v>
      </c>
      <c r="B141" s="170" t="s">
        <v>211</v>
      </c>
      <c r="C141" s="335">
        <v>647.28</v>
      </c>
      <c r="D141" s="336"/>
      <c r="E141" s="176">
        <f t="shared" si="2"/>
        <v>499876.39000002068</v>
      </c>
      <c r="F141" s="174"/>
      <c r="G141" s="174"/>
      <c r="H141" s="174"/>
      <c r="I141" s="174"/>
      <c r="J141" s="174"/>
      <c r="K141" s="178"/>
      <c r="L141" s="66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3.5" customHeight="1" x14ac:dyDescent="0.25">
      <c r="A142" s="175">
        <v>46062</v>
      </c>
      <c r="B142" s="170" t="s">
        <v>212</v>
      </c>
      <c r="C142" s="335">
        <v>29471.99</v>
      </c>
      <c r="D142" s="336"/>
      <c r="E142" s="176">
        <f t="shared" si="2"/>
        <v>470404.40000002069</v>
      </c>
      <c r="F142" s="174"/>
      <c r="G142" s="174"/>
      <c r="H142" s="174"/>
      <c r="I142" s="174"/>
      <c r="J142" s="174"/>
      <c r="K142" s="178"/>
      <c r="L142" s="66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3.5" customHeight="1" x14ac:dyDescent="0.25">
      <c r="A143" s="175">
        <v>46062</v>
      </c>
      <c r="B143" s="170" t="s">
        <v>213</v>
      </c>
      <c r="C143" s="335">
        <v>6843.64</v>
      </c>
      <c r="D143" s="336"/>
      <c r="E143" s="176">
        <f t="shared" si="2"/>
        <v>463560.76000002067</v>
      </c>
      <c r="F143" s="174"/>
      <c r="G143" s="174"/>
      <c r="H143" s="174"/>
      <c r="I143" s="174"/>
      <c r="J143" s="174"/>
      <c r="K143" s="178"/>
      <c r="L143" s="66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3.5" customHeight="1" x14ac:dyDescent="0.25">
      <c r="A144" s="175">
        <v>46062</v>
      </c>
      <c r="B144" s="170" t="s">
        <v>214</v>
      </c>
      <c r="C144" s="335">
        <v>673.6</v>
      </c>
      <c r="D144" s="336"/>
      <c r="E144" s="176">
        <f t="shared" si="2"/>
        <v>462887.1600000207</v>
      </c>
      <c r="F144" s="174"/>
      <c r="G144" s="174"/>
      <c r="H144" s="174"/>
      <c r="I144" s="174"/>
      <c r="J144" s="174"/>
      <c r="K144" s="178"/>
      <c r="L144" s="66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3.5" customHeight="1" x14ac:dyDescent="0.25">
      <c r="A145" s="175">
        <v>46062</v>
      </c>
      <c r="B145" s="170" t="s">
        <v>215</v>
      </c>
      <c r="C145" s="335">
        <v>7419.31</v>
      </c>
      <c r="D145" s="336"/>
      <c r="E145" s="176">
        <f t="shared" si="2"/>
        <v>455467.8500000207</v>
      </c>
      <c r="F145" s="174"/>
      <c r="G145" s="174"/>
      <c r="H145" s="174"/>
      <c r="I145" s="174"/>
      <c r="J145" s="174"/>
      <c r="K145" s="178"/>
      <c r="L145" s="66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3.5" customHeight="1" x14ac:dyDescent="0.25">
      <c r="A146" s="175">
        <v>46062</v>
      </c>
      <c r="B146" s="170" t="s">
        <v>99</v>
      </c>
      <c r="C146" s="335">
        <v>4000</v>
      </c>
      <c r="D146" s="336"/>
      <c r="E146" s="176">
        <f t="shared" si="2"/>
        <v>451467.8500000207</v>
      </c>
      <c r="F146" s="174"/>
      <c r="G146" s="174"/>
      <c r="H146" s="174"/>
      <c r="I146" s="174"/>
      <c r="J146" s="174"/>
      <c r="K146" s="178"/>
      <c r="L146" s="66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3.5" customHeight="1" x14ac:dyDescent="0.25">
      <c r="A147" s="175">
        <v>46062</v>
      </c>
      <c r="B147" s="170" t="s">
        <v>216</v>
      </c>
      <c r="C147" s="335">
        <v>7760.79</v>
      </c>
      <c r="D147" s="336"/>
      <c r="E147" s="176">
        <f t="shared" si="2"/>
        <v>443707.06000002072</v>
      </c>
      <c r="F147" s="173"/>
      <c r="G147" s="174"/>
      <c r="H147" s="177"/>
      <c r="I147" s="197"/>
      <c r="J147" s="174"/>
      <c r="K147" s="178"/>
      <c r="L147" s="66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3.5" customHeight="1" x14ac:dyDescent="0.25">
      <c r="A148" s="175">
        <v>46063</v>
      </c>
      <c r="B148" s="170" t="s">
        <v>99</v>
      </c>
      <c r="C148" s="335">
        <v>4000</v>
      </c>
      <c r="D148" s="336"/>
      <c r="E148" s="176">
        <f t="shared" si="2"/>
        <v>439707.06000002072</v>
      </c>
      <c r="F148" s="174"/>
      <c r="G148" s="174"/>
      <c r="H148" s="174"/>
      <c r="I148" s="174"/>
      <c r="J148" s="174"/>
      <c r="K148" s="178"/>
      <c r="L148" s="66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3.5" customHeight="1" x14ac:dyDescent="0.25">
      <c r="A149" s="175">
        <v>46063</v>
      </c>
      <c r="B149" s="170" t="s">
        <v>220</v>
      </c>
      <c r="C149" s="336"/>
      <c r="D149" s="335">
        <v>409915</v>
      </c>
      <c r="E149" s="176">
        <f t="shared" si="2"/>
        <v>849622.06000002078</v>
      </c>
      <c r="F149" s="173"/>
      <c r="G149" s="174"/>
      <c r="H149" s="177"/>
      <c r="I149" s="197"/>
      <c r="J149" s="174"/>
      <c r="K149" s="178"/>
      <c r="L149" s="66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3.5" customHeight="1" x14ac:dyDescent="0.25">
      <c r="A150" s="175">
        <v>46063</v>
      </c>
      <c r="B150" s="170" t="s">
        <v>221</v>
      </c>
      <c r="C150" s="336"/>
      <c r="D150" s="335">
        <v>379748.5</v>
      </c>
      <c r="E150" s="176">
        <f t="shared" si="2"/>
        <v>1229370.5600000208</v>
      </c>
      <c r="F150" s="173"/>
      <c r="G150" s="174"/>
      <c r="H150" s="177"/>
      <c r="I150" s="197"/>
      <c r="J150" s="174"/>
      <c r="K150" s="178"/>
      <c r="L150" s="66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3.5" customHeight="1" x14ac:dyDescent="0.25">
      <c r="A151" s="175">
        <v>46063</v>
      </c>
      <c r="B151" s="170" t="s">
        <v>159</v>
      </c>
      <c r="C151" s="336"/>
      <c r="D151" s="335">
        <v>1700000</v>
      </c>
      <c r="E151" s="176">
        <f t="shared" si="2"/>
        <v>2929370.560000021</v>
      </c>
      <c r="F151" s="174"/>
      <c r="G151" s="174"/>
      <c r="H151" s="174"/>
      <c r="I151" s="174"/>
      <c r="J151" s="174"/>
      <c r="K151" s="178"/>
      <c r="L151" s="66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3.5" customHeight="1" x14ac:dyDescent="0.25">
      <c r="A152" s="175">
        <v>46063</v>
      </c>
      <c r="B152" s="170" t="s">
        <v>222</v>
      </c>
      <c r="C152" s="335">
        <v>23084</v>
      </c>
      <c r="D152" s="336"/>
      <c r="E152" s="176">
        <f t="shared" si="2"/>
        <v>2906286.560000021</v>
      </c>
      <c r="F152" s="174"/>
      <c r="G152" s="174"/>
      <c r="H152" s="174"/>
      <c r="I152" s="174"/>
      <c r="J152" s="174"/>
      <c r="K152" s="178"/>
      <c r="L152" s="66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3.5" customHeight="1" x14ac:dyDescent="0.25">
      <c r="A153" s="175">
        <v>46063</v>
      </c>
      <c r="B153" s="170" t="s">
        <v>223</v>
      </c>
      <c r="C153" s="335">
        <v>12089</v>
      </c>
      <c r="D153" s="336"/>
      <c r="E153" s="176">
        <f t="shared" si="2"/>
        <v>2894197.560000021</v>
      </c>
      <c r="F153" s="174"/>
      <c r="G153" s="174"/>
      <c r="H153" s="174"/>
      <c r="I153" s="174"/>
      <c r="J153" s="174"/>
      <c r="K153" s="178"/>
      <c r="L153" s="66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3.5" customHeight="1" x14ac:dyDescent="0.25">
      <c r="A154" s="175">
        <v>46063</v>
      </c>
      <c r="B154" s="170" t="s">
        <v>224</v>
      </c>
      <c r="C154" s="335">
        <v>8740</v>
      </c>
      <c r="D154" s="336"/>
      <c r="E154" s="176">
        <f t="shared" si="2"/>
        <v>2885457.560000021</v>
      </c>
      <c r="F154" s="174"/>
      <c r="G154" s="174"/>
      <c r="H154" s="174"/>
      <c r="I154" s="174"/>
      <c r="J154" s="174"/>
      <c r="K154" s="178"/>
      <c r="L154" s="66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3.5" customHeight="1" x14ac:dyDescent="0.25">
      <c r="A155" s="175">
        <v>46063</v>
      </c>
      <c r="B155" s="170" t="s">
        <v>225</v>
      </c>
      <c r="C155" s="335">
        <v>6</v>
      </c>
      <c r="D155" s="336"/>
      <c r="E155" s="176">
        <f t="shared" si="2"/>
        <v>2885451.560000021</v>
      </c>
      <c r="F155" s="173"/>
      <c r="G155" s="199"/>
      <c r="H155" s="192"/>
      <c r="I155" s="197"/>
      <c r="J155" s="174"/>
      <c r="K155" s="178"/>
      <c r="L155" s="66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3.5" customHeight="1" x14ac:dyDescent="0.25">
      <c r="A156" s="175">
        <v>46063</v>
      </c>
      <c r="B156" s="170" t="s">
        <v>226</v>
      </c>
      <c r="C156" s="335">
        <v>0.96</v>
      </c>
      <c r="D156" s="336"/>
      <c r="E156" s="176">
        <f t="shared" si="2"/>
        <v>2885450.600000021</v>
      </c>
      <c r="F156" s="174"/>
      <c r="G156" s="174"/>
      <c r="H156" s="174"/>
      <c r="I156" s="174"/>
      <c r="J156" s="174"/>
      <c r="K156" s="178"/>
      <c r="L156" s="66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3.5" customHeight="1" x14ac:dyDescent="0.25">
      <c r="A157" s="175">
        <v>46063</v>
      </c>
      <c r="B157" s="170" t="s">
        <v>227</v>
      </c>
      <c r="C157" s="335">
        <v>360</v>
      </c>
      <c r="D157" s="336"/>
      <c r="E157" s="176">
        <f t="shared" si="2"/>
        <v>2885090.600000021</v>
      </c>
      <c r="F157" s="174"/>
      <c r="G157" s="174"/>
      <c r="H157" s="174"/>
      <c r="I157" s="174"/>
      <c r="J157" s="174"/>
      <c r="K157" s="178"/>
      <c r="L157" s="66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3.5" customHeight="1" x14ac:dyDescent="0.25">
      <c r="A158" s="175">
        <v>46063</v>
      </c>
      <c r="B158" s="170" t="s">
        <v>225</v>
      </c>
      <c r="C158" s="335">
        <v>6</v>
      </c>
      <c r="D158" s="336"/>
      <c r="E158" s="176">
        <f t="shared" si="2"/>
        <v>2885084.600000021</v>
      </c>
      <c r="F158" s="173"/>
      <c r="G158" s="199"/>
      <c r="H158" s="192"/>
      <c r="I158" s="197"/>
      <c r="J158" s="174"/>
      <c r="K158" s="178"/>
      <c r="L158" s="66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3.5" customHeight="1" x14ac:dyDescent="0.25">
      <c r="A159" s="175">
        <v>46063</v>
      </c>
      <c r="B159" s="170" t="s">
        <v>226</v>
      </c>
      <c r="C159" s="335">
        <v>0.96</v>
      </c>
      <c r="D159" s="336"/>
      <c r="E159" s="176">
        <f t="shared" si="2"/>
        <v>2885083.6400000211</v>
      </c>
      <c r="F159" s="174"/>
      <c r="G159" s="174"/>
      <c r="H159" s="174"/>
      <c r="I159" s="174"/>
      <c r="J159" s="174"/>
      <c r="K159" s="178"/>
      <c r="L159" s="66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3.5" customHeight="1" x14ac:dyDescent="0.25">
      <c r="A160" s="175">
        <v>46063</v>
      </c>
      <c r="B160" s="170" t="s">
        <v>228</v>
      </c>
      <c r="C160" s="335">
        <v>8000</v>
      </c>
      <c r="D160" s="336"/>
      <c r="E160" s="176">
        <f t="shared" si="2"/>
        <v>2877083.6400000211</v>
      </c>
      <c r="F160" s="174"/>
      <c r="G160" s="174"/>
      <c r="H160" s="174"/>
      <c r="I160" s="174"/>
      <c r="J160" s="174"/>
      <c r="K160" s="178"/>
      <c r="L160" s="66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3.5" customHeight="1" x14ac:dyDescent="0.25">
      <c r="A161" s="175">
        <v>46063</v>
      </c>
      <c r="B161" s="170" t="s">
        <v>229</v>
      </c>
      <c r="C161" s="335">
        <v>3360</v>
      </c>
      <c r="D161" s="336"/>
      <c r="E161" s="176">
        <f t="shared" si="2"/>
        <v>2873723.6400000211</v>
      </c>
      <c r="F161" s="173"/>
      <c r="G161" s="174"/>
      <c r="H161" s="177"/>
      <c r="I161" s="197"/>
      <c r="J161" s="174"/>
      <c r="K161" s="178"/>
      <c r="L161" s="66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3.5" customHeight="1" x14ac:dyDescent="0.25">
      <c r="A162" s="175">
        <v>46063</v>
      </c>
      <c r="B162" s="170" t="s">
        <v>225</v>
      </c>
      <c r="C162" s="335">
        <v>6</v>
      </c>
      <c r="D162" s="336"/>
      <c r="E162" s="176">
        <f t="shared" si="2"/>
        <v>2873717.6400000211</v>
      </c>
      <c r="F162" s="174"/>
      <c r="G162" s="174"/>
      <c r="H162" s="174"/>
      <c r="I162" s="174"/>
      <c r="J162" s="174"/>
      <c r="K162" s="178"/>
      <c r="L162" s="66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3.5" customHeight="1" x14ac:dyDescent="0.25">
      <c r="A163" s="175">
        <v>46063</v>
      </c>
      <c r="B163" s="170" t="s">
        <v>226</v>
      </c>
      <c r="C163" s="335">
        <v>0.96</v>
      </c>
      <c r="D163" s="336"/>
      <c r="E163" s="176">
        <f t="shared" si="2"/>
        <v>2873716.6800000211</v>
      </c>
      <c r="F163" s="174"/>
      <c r="G163" s="174"/>
      <c r="H163" s="174"/>
      <c r="I163" s="174"/>
      <c r="J163" s="174"/>
      <c r="K163" s="178"/>
      <c r="L163" s="66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3.5" customHeight="1" x14ac:dyDescent="0.25">
      <c r="A164" s="175">
        <v>46063</v>
      </c>
      <c r="B164" s="170" t="s">
        <v>230</v>
      </c>
      <c r="C164" s="335">
        <v>102175</v>
      </c>
      <c r="D164" s="336"/>
      <c r="E164" s="176">
        <f t="shared" si="2"/>
        <v>2771541.6800000211</v>
      </c>
      <c r="F164" s="174"/>
      <c r="G164" s="174"/>
      <c r="H164" s="174"/>
      <c r="I164" s="174"/>
      <c r="J164" s="174"/>
      <c r="K164" s="178"/>
      <c r="L164" s="66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3.5" customHeight="1" x14ac:dyDescent="0.25">
      <c r="A165" s="175">
        <v>46063</v>
      </c>
      <c r="B165" s="170" t="s">
        <v>231</v>
      </c>
      <c r="C165" s="335">
        <v>1250</v>
      </c>
      <c r="D165" s="336"/>
      <c r="E165" s="176">
        <f t="shared" si="2"/>
        <v>2770291.6800000211</v>
      </c>
      <c r="F165" s="174"/>
      <c r="G165" s="174"/>
      <c r="H165" s="174"/>
      <c r="I165" s="174"/>
      <c r="J165" s="174"/>
      <c r="K165" s="178"/>
      <c r="L165" s="66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3.5" customHeight="1" x14ac:dyDescent="0.25">
      <c r="A166" s="175">
        <v>46063</v>
      </c>
      <c r="B166" s="170" t="s">
        <v>225</v>
      </c>
      <c r="C166" s="335">
        <v>6</v>
      </c>
      <c r="D166" s="336"/>
      <c r="E166" s="176">
        <f t="shared" si="2"/>
        <v>2770285.6800000211</v>
      </c>
      <c r="F166" s="174"/>
      <c r="G166" s="174"/>
      <c r="H166" s="174"/>
      <c r="I166" s="174"/>
      <c r="J166" s="174"/>
      <c r="K166" s="178"/>
      <c r="L166" s="66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3.5" customHeight="1" x14ac:dyDescent="0.25">
      <c r="A167" s="175">
        <v>46063</v>
      </c>
      <c r="B167" s="170" t="s">
        <v>226</v>
      </c>
      <c r="C167" s="335">
        <v>0.96</v>
      </c>
      <c r="D167" s="336"/>
      <c r="E167" s="176">
        <f t="shared" si="2"/>
        <v>2770284.7200000212</v>
      </c>
      <c r="F167" s="204"/>
      <c r="G167" s="181"/>
      <c r="H167" s="205"/>
      <c r="I167" s="181"/>
      <c r="J167" s="206"/>
      <c r="K167" s="178"/>
      <c r="L167" s="66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3.5" customHeight="1" x14ac:dyDescent="0.25">
      <c r="A168" s="175">
        <v>46063</v>
      </c>
      <c r="B168" s="170" t="s">
        <v>232</v>
      </c>
      <c r="C168" s="335">
        <v>47391.54</v>
      </c>
      <c r="D168" s="336"/>
      <c r="E168" s="176">
        <f t="shared" si="2"/>
        <v>2722893.1800000211</v>
      </c>
      <c r="F168" s="174"/>
      <c r="G168" s="174"/>
      <c r="H168" s="174"/>
      <c r="I168" s="174"/>
      <c r="J168" s="174"/>
      <c r="K168" s="178"/>
      <c r="L168" s="66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3.5" customHeight="1" x14ac:dyDescent="0.25">
      <c r="A169" s="175">
        <v>46063</v>
      </c>
      <c r="B169" s="170" t="s">
        <v>225</v>
      </c>
      <c r="C169" s="335">
        <v>6</v>
      </c>
      <c r="D169" s="336"/>
      <c r="E169" s="176">
        <f t="shared" si="2"/>
        <v>2722887.1800000211</v>
      </c>
      <c r="F169" s="174"/>
      <c r="G169" s="174"/>
      <c r="H169" s="174"/>
      <c r="I169" s="174"/>
      <c r="J169" s="174"/>
      <c r="K169" s="178"/>
      <c r="L169" s="66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3.5" customHeight="1" x14ac:dyDescent="0.25">
      <c r="A170" s="175">
        <v>46063</v>
      </c>
      <c r="B170" s="170" t="s">
        <v>226</v>
      </c>
      <c r="C170" s="335">
        <v>0.96</v>
      </c>
      <c r="D170" s="336"/>
      <c r="E170" s="176">
        <f t="shared" si="2"/>
        <v>2722886.2200000212</v>
      </c>
      <c r="F170" s="174"/>
      <c r="G170" s="174"/>
      <c r="H170" s="174"/>
      <c r="I170" s="174"/>
      <c r="J170" s="174"/>
      <c r="K170" s="178"/>
      <c r="L170" s="66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3.5" customHeight="1" x14ac:dyDescent="0.25">
      <c r="A171" s="175">
        <v>46063</v>
      </c>
      <c r="B171" s="170" t="s">
        <v>233</v>
      </c>
      <c r="C171" s="335">
        <v>1453.76</v>
      </c>
      <c r="D171" s="336"/>
      <c r="E171" s="176">
        <f t="shared" si="2"/>
        <v>2721432.4600000214</v>
      </c>
      <c r="F171" s="174"/>
      <c r="G171" s="174"/>
      <c r="H171" s="174"/>
      <c r="I171" s="174"/>
      <c r="J171" s="174"/>
      <c r="K171" s="178"/>
      <c r="L171" s="66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3.5" customHeight="1" x14ac:dyDescent="0.25">
      <c r="A172" s="175">
        <v>46063</v>
      </c>
      <c r="B172" s="170" t="s">
        <v>234</v>
      </c>
      <c r="C172" s="335">
        <v>1739.61</v>
      </c>
      <c r="D172" s="336"/>
      <c r="E172" s="176">
        <f t="shared" si="2"/>
        <v>2719692.8500000215</v>
      </c>
      <c r="F172" s="174"/>
      <c r="G172" s="174"/>
      <c r="H172" s="174"/>
      <c r="I172" s="174"/>
      <c r="J172" s="174"/>
      <c r="K172" s="178"/>
      <c r="L172" s="66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3.5" customHeight="1" x14ac:dyDescent="0.25">
      <c r="A173" s="175">
        <v>46063</v>
      </c>
      <c r="B173" s="170" t="s">
        <v>235</v>
      </c>
      <c r="C173" s="335">
        <v>2434</v>
      </c>
      <c r="D173" s="336"/>
      <c r="E173" s="176">
        <f t="shared" si="2"/>
        <v>2717258.8500000215</v>
      </c>
      <c r="F173" s="174"/>
      <c r="G173" s="174"/>
      <c r="H173" s="174"/>
      <c r="I173" s="174"/>
      <c r="J173" s="174"/>
      <c r="K173" s="178"/>
      <c r="L173" s="66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3.5" customHeight="1" x14ac:dyDescent="0.25">
      <c r="A174" s="175">
        <v>46063</v>
      </c>
      <c r="B174" s="170" t="s">
        <v>236</v>
      </c>
      <c r="C174" s="335">
        <v>3000</v>
      </c>
      <c r="D174" s="336"/>
      <c r="E174" s="176">
        <f t="shared" si="2"/>
        <v>2714258.8500000215</v>
      </c>
      <c r="F174" s="174"/>
      <c r="G174" s="174"/>
      <c r="H174" s="174"/>
      <c r="I174" s="174"/>
      <c r="J174" s="174"/>
      <c r="K174" s="178"/>
      <c r="L174" s="66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3.5" customHeight="1" x14ac:dyDescent="0.25">
      <c r="A175" s="175">
        <v>46063</v>
      </c>
      <c r="B175" s="170" t="s">
        <v>237</v>
      </c>
      <c r="C175" s="335">
        <v>6831</v>
      </c>
      <c r="D175" s="336"/>
      <c r="E175" s="176">
        <f t="shared" si="2"/>
        <v>2707427.8500000215</v>
      </c>
      <c r="F175" s="204"/>
      <c r="G175" s="181"/>
      <c r="H175" s="205"/>
      <c r="I175" s="181"/>
      <c r="J175" s="206"/>
      <c r="K175" s="235"/>
      <c r="L175" s="66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3.5" customHeight="1" x14ac:dyDescent="0.25">
      <c r="A176" s="175">
        <v>46063</v>
      </c>
      <c r="B176" s="170" t="s">
        <v>238</v>
      </c>
      <c r="C176" s="335">
        <v>8100</v>
      </c>
      <c r="D176" s="336"/>
      <c r="E176" s="176">
        <f t="shared" si="2"/>
        <v>2699327.8500000215</v>
      </c>
      <c r="F176" s="174"/>
      <c r="G176" s="174"/>
      <c r="H176" s="174"/>
      <c r="I176" s="174"/>
      <c r="J176" s="174"/>
      <c r="K176" s="178"/>
      <c r="L176" s="66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3.5" customHeight="1" x14ac:dyDescent="0.25">
      <c r="A177" s="175">
        <v>46063</v>
      </c>
      <c r="B177" s="170" t="s">
        <v>225</v>
      </c>
      <c r="C177" s="335">
        <v>6</v>
      </c>
      <c r="D177" s="336"/>
      <c r="E177" s="176">
        <f t="shared" si="2"/>
        <v>2699321.8500000215</v>
      </c>
      <c r="F177" s="174"/>
      <c r="G177" s="174"/>
      <c r="H177" s="174"/>
      <c r="I177" s="174"/>
      <c r="J177" s="174"/>
      <c r="K177" s="178"/>
      <c r="L177" s="66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3.5" customHeight="1" x14ac:dyDescent="0.25">
      <c r="A178" s="175">
        <v>46063</v>
      </c>
      <c r="B178" s="170" t="s">
        <v>226</v>
      </c>
      <c r="C178" s="335">
        <v>0.96</v>
      </c>
      <c r="D178" s="336"/>
      <c r="E178" s="176">
        <f t="shared" si="2"/>
        <v>2699320.8900000216</v>
      </c>
      <c r="F178" s="174"/>
      <c r="G178" s="174"/>
      <c r="H178" s="174"/>
      <c r="I178" s="174"/>
      <c r="J178" s="174"/>
      <c r="K178" s="178"/>
      <c r="L178" s="66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3.5" customHeight="1" x14ac:dyDescent="0.25">
      <c r="A179" s="175">
        <v>46063</v>
      </c>
      <c r="B179" s="170" t="s">
        <v>239</v>
      </c>
      <c r="C179" s="335">
        <v>15200.75</v>
      </c>
      <c r="D179" s="336"/>
      <c r="E179" s="176">
        <f t="shared" si="2"/>
        <v>2684120.1400000216</v>
      </c>
      <c r="F179" s="174"/>
      <c r="G179" s="174"/>
      <c r="H179" s="174"/>
      <c r="I179" s="174"/>
      <c r="J179" s="174"/>
      <c r="K179" s="178"/>
      <c r="L179" s="66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3.5" customHeight="1" x14ac:dyDescent="0.25">
      <c r="A180" s="175">
        <v>46063</v>
      </c>
      <c r="B180" s="170" t="s">
        <v>240</v>
      </c>
      <c r="C180" s="335">
        <v>1860</v>
      </c>
      <c r="D180" s="336"/>
      <c r="E180" s="176">
        <f t="shared" si="2"/>
        <v>2682260.1400000216</v>
      </c>
      <c r="F180" s="174"/>
      <c r="G180" s="174"/>
      <c r="H180" s="174"/>
      <c r="I180" s="174"/>
      <c r="J180" s="174"/>
      <c r="K180" s="178"/>
      <c r="L180" s="66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3.5" customHeight="1" x14ac:dyDescent="0.25">
      <c r="A181" s="175">
        <v>46063</v>
      </c>
      <c r="B181" s="170" t="s">
        <v>225</v>
      </c>
      <c r="C181" s="335">
        <v>6</v>
      </c>
      <c r="D181" s="336"/>
      <c r="E181" s="176">
        <f t="shared" si="2"/>
        <v>2682254.1400000216</v>
      </c>
      <c r="F181" s="173"/>
      <c r="G181" s="174"/>
      <c r="H181" s="177"/>
      <c r="I181" s="197"/>
      <c r="J181" s="174"/>
      <c r="K181" s="178"/>
      <c r="L181" s="66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3.5" customHeight="1" x14ac:dyDescent="0.25">
      <c r="A182" s="175">
        <v>46063</v>
      </c>
      <c r="B182" s="170" t="s">
        <v>226</v>
      </c>
      <c r="C182" s="335">
        <v>0.96</v>
      </c>
      <c r="D182" s="336"/>
      <c r="E182" s="176">
        <f t="shared" si="2"/>
        <v>2682253.1800000216</v>
      </c>
      <c r="F182" s="173"/>
      <c r="G182" s="174"/>
      <c r="H182" s="177"/>
      <c r="I182" s="197"/>
      <c r="J182" s="174"/>
      <c r="K182" s="178"/>
      <c r="L182" s="66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3.5" customHeight="1" x14ac:dyDescent="0.25">
      <c r="A183" s="175">
        <v>46063</v>
      </c>
      <c r="B183" s="170" t="s">
        <v>241</v>
      </c>
      <c r="C183" s="335">
        <v>2500</v>
      </c>
      <c r="D183" s="336"/>
      <c r="E183" s="176">
        <f t="shared" si="2"/>
        <v>2679753.1800000216</v>
      </c>
      <c r="F183" s="174"/>
      <c r="G183" s="174"/>
      <c r="H183" s="174"/>
      <c r="I183" s="174"/>
      <c r="J183" s="174"/>
      <c r="K183" s="178"/>
      <c r="L183" s="66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3.5" customHeight="1" x14ac:dyDescent="0.25">
      <c r="A184" s="175">
        <v>46063</v>
      </c>
      <c r="B184" s="170" t="s">
        <v>225</v>
      </c>
      <c r="C184" s="335">
        <v>6</v>
      </c>
      <c r="D184" s="336"/>
      <c r="E184" s="176">
        <f t="shared" si="2"/>
        <v>2679747.1800000216</v>
      </c>
      <c r="F184" s="173"/>
      <c r="G184" s="174"/>
      <c r="H184" s="177"/>
      <c r="I184" s="197"/>
      <c r="J184" s="174"/>
      <c r="K184" s="178"/>
      <c r="L184" s="66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3.5" customHeight="1" x14ac:dyDescent="0.25">
      <c r="A185" s="175">
        <v>46063</v>
      </c>
      <c r="B185" s="170" t="s">
        <v>226</v>
      </c>
      <c r="C185" s="335">
        <v>0.96</v>
      </c>
      <c r="D185" s="336"/>
      <c r="E185" s="176">
        <f t="shared" si="2"/>
        <v>2679746.2200000216</v>
      </c>
      <c r="F185" s="174"/>
      <c r="G185" s="174"/>
      <c r="H185" s="174"/>
      <c r="I185" s="174"/>
      <c r="J185" s="174"/>
      <c r="K185" s="178"/>
      <c r="L185" s="66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3.5" customHeight="1" x14ac:dyDescent="0.25">
      <c r="A186" s="175">
        <v>46063</v>
      </c>
      <c r="B186" s="170" t="s">
        <v>242</v>
      </c>
      <c r="C186" s="335">
        <v>12590</v>
      </c>
      <c r="D186" s="336"/>
      <c r="E186" s="176">
        <f t="shared" si="2"/>
        <v>2667156.2200000216</v>
      </c>
      <c r="F186" s="174"/>
      <c r="G186" s="174"/>
      <c r="H186" s="174"/>
      <c r="I186" s="174"/>
      <c r="J186" s="174"/>
      <c r="K186" s="178"/>
      <c r="L186" s="66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3.5" customHeight="1" x14ac:dyDescent="0.25">
      <c r="A187" s="175">
        <v>46063</v>
      </c>
      <c r="B187" s="170" t="s">
        <v>225</v>
      </c>
      <c r="C187" s="335">
        <v>6</v>
      </c>
      <c r="D187" s="336"/>
      <c r="E187" s="176">
        <f t="shared" si="2"/>
        <v>2667150.2200000216</v>
      </c>
      <c r="F187" s="174"/>
      <c r="G187" s="174"/>
      <c r="H187" s="174"/>
      <c r="I187" s="174"/>
      <c r="J187" s="174"/>
      <c r="K187" s="178"/>
      <c r="L187" s="66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3.5" customHeight="1" x14ac:dyDescent="0.25">
      <c r="A188" s="175">
        <v>46063</v>
      </c>
      <c r="B188" s="170" t="s">
        <v>226</v>
      </c>
      <c r="C188" s="335">
        <v>0.96</v>
      </c>
      <c r="D188" s="336"/>
      <c r="E188" s="176">
        <f t="shared" si="2"/>
        <v>2667149.2600000217</v>
      </c>
      <c r="F188" s="174"/>
      <c r="G188" s="174"/>
      <c r="H188" s="174"/>
      <c r="I188" s="174"/>
      <c r="J188" s="174"/>
      <c r="K188" s="178"/>
      <c r="L188" s="66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3.5" customHeight="1" x14ac:dyDescent="0.25">
      <c r="A189" s="175">
        <v>46063</v>
      </c>
      <c r="B189" s="170" t="s">
        <v>243</v>
      </c>
      <c r="C189" s="335">
        <v>2875</v>
      </c>
      <c r="D189" s="336"/>
      <c r="E189" s="176">
        <f t="shared" si="2"/>
        <v>2664274.2600000217</v>
      </c>
      <c r="F189" s="174"/>
      <c r="G189" s="174"/>
      <c r="H189" s="174"/>
      <c r="I189" s="174"/>
      <c r="J189" s="174"/>
      <c r="K189" s="178"/>
      <c r="L189" s="66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3.5" customHeight="1" x14ac:dyDescent="0.25">
      <c r="A190" s="175">
        <v>46063</v>
      </c>
      <c r="B190" s="170" t="s">
        <v>244</v>
      </c>
      <c r="C190" s="335">
        <v>2870</v>
      </c>
      <c r="D190" s="336"/>
      <c r="E190" s="176">
        <f t="shared" si="2"/>
        <v>2661404.2600000217</v>
      </c>
      <c r="F190" s="207"/>
      <c r="G190" s="181"/>
      <c r="H190" s="205"/>
      <c r="I190" s="181"/>
      <c r="J190" s="174"/>
      <c r="K190" s="178"/>
      <c r="L190" s="66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3.5" customHeight="1" x14ac:dyDescent="0.25">
      <c r="A191" s="175">
        <v>46063</v>
      </c>
      <c r="B191" s="170" t="s">
        <v>245</v>
      </c>
      <c r="C191" s="335">
        <v>12200</v>
      </c>
      <c r="D191" s="336"/>
      <c r="E191" s="176">
        <f t="shared" si="2"/>
        <v>2649204.2600000217</v>
      </c>
      <c r="F191" s="174"/>
      <c r="G191" s="174"/>
      <c r="H191" s="174"/>
      <c r="I191" s="174"/>
      <c r="J191" s="174"/>
      <c r="K191" s="178"/>
      <c r="L191" s="66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3.5" customHeight="1" x14ac:dyDescent="0.25">
      <c r="A192" s="175">
        <v>46063</v>
      </c>
      <c r="B192" s="170" t="s">
        <v>246</v>
      </c>
      <c r="C192" s="335">
        <v>35091.58</v>
      </c>
      <c r="D192" s="336"/>
      <c r="E192" s="176">
        <f t="shared" si="2"/>
        <v>2614112.6800000216</v>
      </c>
      <c r="F192" s="174"/>
      <c r="G192" s="174"/>
      <c r="H192" s="174"/>
      <c r="I192" s="174"/>
      <c r="J192" s="174"/>
      <c r="K192" s="178"/>
      <c r="L192" s="66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3.5" customHeight="1" x14ac:dyDescent="0.25">
      <c r="A193" s="175">
        <v>46063</v>
      </c>
      <c r="B193" s="170" t="s">
        <v>247</v>
      </c>
      <c r="C193" s="335">
        <v>7855</v>
      </c>
      <c r="D193" s="336"/>
      <c r="E193" s="176">
        <f t="shared" si="2"/>
        <v>2606257.6800000216</v>
      </c>
      <c r="F193" s="174"/>
      <c r="G193" s="174"/>
      <c r="H193" s="174"/>
      <c r="I193" s="174"/>
      <c r="J193" s="174"/>
      <c r="K193" s="178"/>
      <c r="L193" s="66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3.5" customHeight="1" x14ac:dyDescent="0.25">
      <c r="A194" s="175">
        <v>46063</v>
      </c>
      <c r="B194" s="170" t="s">
        <v>248</v>
      </c>
      <c r="C194" s="335">
        <v>3920</v>
      </c>
      <c r="D194" s="336"/>
      <c r="E194" s="176">
        <f t="shared" si="2"/>
        <v>2602337.6800000216</v>
      </c>
      <c r="F194" s="174"/>
      <c r="G194" s="174"/>
      <c r="H194" s="174"/>
      <c r="I194" s="174"/>
      <c r="J194" s="174"/>
      <c r="K194" s="178"/>
      <c r="L194" s="66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3.5" customHeight="1" x14ac:dyDescent="0.25">
      <c r="A195" s="175">
        <v>46063</v>
      </c>
      <c r="B195" s="170" t="s">
        <v>225</v>
      </c>
      <c r="C195" s="335">
        <v>6</v>
      </c>
      <c r="D195" s="336"/>
      <c r="E195" s="176">
        <f t="shared" si="2"/>
        <v>2602331.6800000216</v>
      </c>
      <c r="F195" s="174"/>
      <c r="G195" s="174"/>
      <c r="H195" s="174"/>
      <c r="I195" s="174"/>
      <c r="J195" s="174"/>
      <c r="K195" s="178"/>
      <c r="L195" s="66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3.5" customHeight="1" x14ac:dyDescent="0.25">
      <c r="A196" s="175">
        <v>46063</v>
      </c>
      <c r="B196" s="170" t="s">
        <v>226</v>
      </c>
      <c r="C196" s="335">
        <v>0.96</v>
      </c>
      <c r="D196" s="336"/>
      <c r="E196" s="176">
        <f t="shared" si="2"/>
        <v>2602330.7200000216</v>
      </c>
      <c r="F196" s="174"/>
      <c r="G196" s="174"/>
      <c r="H196" s="174"/>
      <c r="I196" s="174"/>
      <c r="J196" s="174"/>
      <c r="K196" s="178"/>
      <c r="L196" s="66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3.5" customHeight="1" x14ac:dyDescent="0.25">
      <c r="A197" s="175">
        <v>46063</v>
      </c>
      <c r="B197" s="170" t="s">
        <v>249</v>
      </c>
      <c r="C197" s="335">
        <v>2000</v>
      </c>
      <c r="D197" s="336"/>
      <c r="E197" s="176">
        <f t="shared" si="2"/>
        <v>2600330.7200000216</v>
      </c>
      <c r="F197" s="174"/>
      <c r="G197" s="174"/>
      <c r="H197" s="174"/>
      <c r="I197" s="174"/>
      <c r="J197" s="174"/>
      <c r="K197" s="178"/>
      <c r="L197" s="66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3.5" customHeight="1" x14ac:dyDescent="0.25">
      <c r="A198" s="175">
        <v>46063</v>
      </c>
      <c r="B198" s="170" t="s">
        <v>250</v>
      </c>
      <c r="C198" s="335">
        <v>6220</v>
      </c>
      <c r="D198" s="336"/>
      <c r="E198" s="176">
        <f t="shared" si="2"/>
        <v>2594110.7200000216</v>
      </c>
      <c r="F198" s="174"/>
      <c r="G198" s="174"/>
      <c r="H198" s="174"/>
      <c r="I198" s="174"/>
      <c r="J198" s="174"/>
      <c r="K198" s="178"/>
      <c r="L198" s="66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3.5" customHeight="1" x14ac:dyDescent="0.25">
      <c r="A199" s="175">
        <v>46063</v>
      </c>
      <c r="B199" s="170" t="s">
        <v>251</v>
      </c>
      <c r="C199" s="335">
        <v>47278.32</v>
      </c>
      <c r="D199" s="336"/>
      <c r="E199" s="176">
        <f t="shared" si="2"/>
        <v>2546832.4000000218</v>
      </c>
      <c r="F199" s="178"/>
      <c r="G199" s="174"/>
      <c r="H199" s="174"/>
      <c r="I199" s="174"/>
      <c r="J199" s="174"/>
      <c r="K199" s="178"/>
      <c r="L199" s="66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3.5" customHeight="1" x14ac:dyDescent="0.25">
      <c r="A200" s="175">
        <v>46063</v>
      </c>
      <c r="B200" s="170" t="s">
        <v>225</v>
      </c>
      <c r="C200" s="335">
        <v>6</v>
      </c>
      <c r="D200" s="336"/>
      <c r="E200" s="176">
        <f t="shared" ref="E200:E263" si="3">E199-C200+D200</f>
        <v>2546826.4000000218</v>
      </c>
      <c r="F200" s="173"/>
      <c r="G200" s="199"/>
      <c r="H200" s="203"/>
      <c r="I200" s="208"/>
      <c r="J200" s="174"/>
      <c r="K200" s="178"/>
      <c r="L200" s="66"/>
      <c r="M200" s="67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3.5" customHeight="1" x14ac:dyDescent="0.25">
      <c r="A201" s="175">
        <v>46063</v>
      </c>
      <c r="B201" s="170" t="s">
        <v>226</v>
      </c>
      <c r="C201" s="335">
        <v>0.96</v>
      </c>
      <c r="D201" s="336"/>
      <c r="E201" s="176">
        <f t="shared" si="3"/>
        <v>2546825.4400000218</v>
      </c>
      <c r="F201" s="173"/>
      <c r="G201" s="199"/>
      <c r="H201" s="203"/>
      <c r="I201" s="208"/>
      <c r="J201" s="174"/>
      <c r="K201" s="197"/>
      <c r="L201" s="66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3.5" customHeight="1" x14ac:dyDescent="0.25">
      <c r="A202" s="175">
        <v>46063</v>
      </c>
      <c r="B202" s="170" t="s">
        <v>252</v>
      </c>
      <c r="C202" s="335">
        <v>246179.7</v>
      </c>
      <c r="D202" s="336"/>
      <c r="E202" s="176">
        <f t="shared" si="3"/>
        <v>2300645.7400000216</v>
      </c>
      <c r="F202" s="174"/>
      <c r="G202" s="174"/>
      <c r="H202" s="174"/>
      <c r="I202" s="174"/>
      <c r="J202" s="174"/>
      <c r="K202" s="178"/>
      <c r="L202" s="66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3.5" customHeight="1" x14ac:dyDescent="0.25">
      <c r="A203" s="175">
        <v>46063</v>
      </c>
      <c r="B203" s="170" t="s">
        <v>253</v>
      </c>
      <c r="C203" s="335">
        <v>2088</v>
      </c>
      <c r="D203" s="336"/>
      <c r="E203" s="176">
        <f t="shared" si="3"/>
        <v>2298557.7400000216</v>
      </c>
      <c r="F203" s="204"/>
      <c r="G203" s="181"/>
      <c r="H203" s="205"/>
      <c r="I203" s="181"/>
      <c r="J203" s="206"/>
      <c r="K203" s="178"/>
      <c r="L203" s="66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3.5" customHeight="1" x14ac:dyDescent="0.25">
      <c r="A204" s="175">
        <v>46063</v>
      </c>
      <c r="B204" s="170" t="s">
        <v>254</v>
      </c>
      <c r="C204" s="335">
        <v>1910592.64</v>
      </c>
      <c r="D204" s="336"/>
      <c r="E204" s="176">
        <f t="shared" si="3"/>
        <v>387965.10000002175</v>
      </c>
      <c r="F204" s="174"/>
      <c r="G204" s="174"/>
      <c r="H204" s="174"/>
      <c r="I204" s="174"/>
      <c r="J204" s="174"/>
      <c r="K204" s="178"/>
      <c r="L204" s="66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3.5" customHeight="1" x14ac:dyDescent="0.25">
      <c r="A205" s="175">
        <v>46063</v>
      </c>
      <c r="B205" s="170" t="s">
        <v>255</v>
      </c>
      <c r="C205" s="335">
        <v>112464</v>
      </c>
      <c r="D205" s="336"/>
      <c r="E205" s="176">
        <f t="shared" si="3"/>
        <v>275501.10000002175</v>
      </c>
      <c r="F205" s="173"/>
      <c r="G205" s="174"/>
      <c r="H205" s="177"/>
      <c r="I205" s="197"/>
      <c r="J205" s="174"/>
      <c r="K205" s="178"/>
      <c r="L205" s="66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3.5" customHeight="1" x14ac:dyDescent="0.25">
      <c r="A206" s="175">
        <v>46063</v>
      </c>
      <c r="B206" s="170" t="s">
        <v>256</v>
      </c>
      <c r="C206" s="335">
        <v>3825</v>
      </c>
      <c r="D206" s="336"/>
      <c r="E206" s="176">
        <f t="shared" si="3"/>
        <v>271676.10000002175</v>
      </c>
      <c r="F206" s="173"/>
      <c r="G206" s="174"/>
      <c r="H206" s="177"/>
      <c r="I206" s="197"/>
      <c r="J206" s="174"/>
      <c r="K206" s="178"/>
      <c r="L206" s="66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3.5" customHeight="1" x14ac:dyDescent="0.25">
      <c r="A207" s="175">
        <v>46063</v>
      </c>
      <c r="B207" s="170" t="s">
        <v>257</v>
      </c>
      <c r="C207" s="335">
        <v>12858.48</v>
      </c>
      <c r="D207" s="336"/>
      <c r="E207" s="176">
        <f t="shared" si="3"/>
        <v>258817.62000002174</v>
      </c>
      <c r="F207" s="174"/>
      <c r="G207" s="174"/>
      <c r="H207" s="174"/>
      <c r="I207" s="174"/>
      <c r="J207" s="174"/>
      <c r="K207" s="178"/>
      <c r="L207" s="66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3.5" customHeight="1" x14ac:dyDescent="0.25">
      <c r="A208" s="175">
        <v>46063</v>
      </c>
      <c r="B208" s="170" t="s">
        <v>258</v>
      </c>
      <c r="C208" s="335">
        <v>80275.199999999997</v>
      </c>
      <c r="D208" s="336"/>
      <c r="E208" s="176">
        <f t="shared" si="3"/>
        <v>178542.42000002175</v>
      </c>
      <c r="F208" s="174"/>
      <c r="G208" s="174"/>
      <c r="H208" s="174"/>
      <c r="I208" s="174"/>
      <c r="J208" s="174"/>
      <c r="K208" s="178"/>
      <c r="L208" s="66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3.5" customHeight="1" x14ac:dyDescent="0.25">
      <c r="A209" s="175">
        <v>46063</v>
      </c>
      <c r="B209" s="170" t="s">
        <v>259</v>
      </c>
      <c r="C209" s="335">
        <v>1065</v>
      </c>
      <c r="D209" s="336"/>
      <c r="E209" s="176">
        <f t="shared" si="3"/>
        <v>177477.42000002175</v>
      </c>
      <c r="F209" s="174"/>
      <c r="G209" s="174"/>
      <c r="H209" s="174"/>
      <c r="I209" s="174"/>
      <c r="J209" s="174"/>
      <c r="K209" s="178"/>
      <c r="L209" s="66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3.5" customHeight="1" x14ac:dyDescent="0.25">
      <c r="A210" s="175">
        <v>46063</v>
      </c>
      <c r="B210" s="170" t="s">
        <v>260</v>
      </c>
      <c r="C210" s="335">
        <v>43463.5</v>
      </c>
      <c r="D210" s="336"/>
      <c r="E210" s="176">
        <f t="shared" si="3"/>
        <v>134013.92000002175</v>
      </c>
      <c r="F210" s="174"/>
      <c r="G210" s="174"/>
      <c r="H210" s="174"/>
      <c r="I210" s="174"/>
      <c r="J210" s="174"/>
      <c r="K210" s="178"/>
      <c r="L210" s="66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3.5" customHeight="1" x14ac:dyDescent="0.25">
      <c r="A211" s="175">
        <v>46063</v>
      </c>
      <c r="B211" s="170" t="s">
        <v>261</v>
      </c>
      <c r="C211" s="335">
        <v>2400</v>
      </c>
      <c r="D211" s="336"/>
      <c r="E211" s="176">
        <f t="shared" si="3"/>
        <v>131613.92000002175</v>
      </c>
      <c r="F211" s="174"/>
      <c r="G211" s="174"/>
      <c r="H211" s="174"/>
      <c r="I211" s="174"/>
      <c r="J211" s="174"/>
      <c r="K211" s="178"/>
      <c r="L211" s="66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3.5" customHeight="1" x14ac:dyDescent="0.25">
      <c r="A212" s="175">
        <v>46063</v>
      </c>
      <c r="B212" s="170" t="s">
        <v>262</v>
      </c>
      <c r="C212" s="335">
        <v>5622.75</v>
      </c>
      <c r="D212" s="336"/>
      <c r="E212" s="176">
        <f t="shared" si="3"/>
        <v>125991.17000002175</v>
      </c>
      <c r="F212" s="174"/>
      <c r="G212" s="174"/>
      <c r="H212" s="174"/>
      <c r="I212" s="174"/>
      <c r="J212" s="174"/>
      <c r="K212" s="178"/>
      <c r="L212" s="66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3.5" customHeight="1" x14ac:dyDescent="0.25">
      <c r="A213" s="175">
        <v>46063</v>
      </c>
      <c r="B213" s="170" t="s">
        <v>263</v>
      </c>
      <c r="C213" s="335">
        <v>80205.320000000007</v>
      </c>
      <c r="D213" s="336"/>
      <c r="E213" s="176">
        <f t="shared" si="3"/>
        <v>45785.850000021746</v>
      </c>
      <c r="F213" s="174"/>
      <c r="G213" s="174"/>
      <c r="H213" s="174"/>
      <c r="I213" s="174"/>
      <c r="J213" s="174"/>
      <c r="K213" s="178"/>
      <c r="L213" s="66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3.5" customHeight="1" x14ac:dyDescent="0.25">
      <c r="A214" s="175">
        <v>46063</v>
      </c>
      <c r="B214" s="170" t="s">
        <v>264</v>
      </c>
      <c r="C214" s="335">
        <v>3040</v>
      </c>
      <c r="D214" s="336"/>
      <c r="E214" s="176">
        <f t="shared" si="3"/>
        <v>42745.850000021746</v>
      </c>
      <c r="F214" s="174"/>
      <c r="G214" s="174"/>
      <c r="H214" s="174"/>
      <c r="I214" s="174"/>
      <c r="J214" s="174"/>
      <c r="K214" s="178"/>
      <c r="L214" s="66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3.5" customHeight="1" x14ac:dyDescent="0.25">
      <c r="A215" s="175">
        <v>46063</v>
      </c>
      <c r="B215" s="170" t="s">
        <v>265</v>
      </c>
      <c r="C215" s="335">
        <v>14014</v>
      </c>
      <c r="D215" s="336"/>
      <c r="E215" s="176">
        <f t="shared" si="3"/>
        <v>28731.850000021746</v>
      </c>
      <c r="F215" s="174"/>
      <c r="G215" s="174"/>
      <c r="H215" s="174"/>
      <c r="I215" s="174"/>
      <c r="J215" s="174"/>
      <c r="K215" s="178"/>
      <c r="L215" s="66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3.5" customHeight="1" x14ac:dyDescent="0.25">
      <c r="A216" s="175">
        <v>46063</v>
      </c>
      <c r="B216" s="170" t="s">
        <v>225</v>
      </c>
      <c r="C216" s="335">
        <v>6</v>
      </c>
      <c r="D216" s="336"/>
      <c r="E216" s="176">
        <f t="shared" si="3"/>
        <v>28725.850000021746</v>
      </c>
      <c r="F216" s="174"/>
      <c r="G216" s="174"/>
      <c r="H216" s="174"/>
      <c r="I216" s="174"/>
      <c r="J216" s="174"/>
      <c r="K216" s="178"/>
      <c r="L216" s="66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3.5" customHeight="1" x14ac:dyDescent="0.25">
      <c r="A217" s="175">
        <v>46063</v>
      </c>
      <c r="B217" s="170" t="s">
        <v>226</v>
      </c>
      <c r="C217" s="335">
        <v>0.96</v>
      </c>
      <c r="D217" s="336"/>
      <c r="E217" s="176">
        <f t="shared" si="3"/>
        <v>28724.890000021747</v>
      </c>
      <c r="F217" s="204"/>
      <c r="G217" s="181"/>
      <c r="H217" s="205"/>
      <c r="I217" s="181"/>
      <c r="J217" s="206"/>
      <c r="K217" s="178"/>
      <c r="L217" s="66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3.5" customHeight="1" x14ac:dyDescent="0.25">
      <c r="A218" s="175">
        <v>46064</v>
      </c>
      <c r="B218" s="170" t="s">
        <v>269</v>
      </c>
      <c r="C218" s="336"/>
      <c r="D218" s="335">
        <v>319416.5</v>
      </c>
      <c r="E218" s="176">
        <f t="shared" si="3"/>
        <v>348141.39000002173</v>
      </c>
      <c r="F218" s="173"/>
      <c r="G218" s="174"/>
      <c r="H218" s="177"/>
      <c r="I218" s="197"/>
      <c r="J218" s="174"/>
      <c r="K218" s="178"/>
      <c r="L218" s="66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3.5" customHeight="1" x14ac:dyDescent="0.25">
      <c r="A219" s="175">
        <v>46064</v>
      </c>
      <c r="B219" s="170" t="s">
        <v>270</v>
      </c>
      <c r="C219" s="335">
        <v>6822</v>
      </c>
      <c r="D219" s="336"/>
      <c r="E219" s="176">
        <f t="shared" si="3"/>
        <v>341319.39000002173</v>
      </c>
      <c r="F219" s="174"/>
      <c r="G219" s="174"/>
      <c r="H219" s="174"/>
      <c r="I219" s="174"/>
      <c r="J219" s="174"/>
      <c r="K219" s="178"/>
      <c r="L219" s="66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3.5" customHeight="1" x14ac:dyDescent="0.25">
      <c r="A220" s="175">
        <v>46064</v>
      </c>
      <c r="B220" s="170" t="s">
        <v>271</v>
      </c>
      <c r="C220" s="335">
        <v>35008</v>
      </c>
      <c r="D220" s="336"/>
      <c r="E220" s="176">
        <f t="shared" si="3"/>
        <v>306311.39000002173</v>
      </c>
      <c r="F220" s="207"/>
      <c r="G220" s="181"/>
      <c r="H220" s="205"/>
      <c r="I220" s="181"/>
      <c r="J220" s="209"/>
      <c r="K220" s="178"/>
      <c r="L220" s="66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3.5" customHeight="1" x14ac:dyDescent="0.25">
      <c r="A221" s="175">
        <v>46064</v>
      </c>
      <c r="B221" s="170" t="s">
        <v>272</v>
      </c>
      <c r="C221" s="335">
        <v>22971</v>
      </c>
      <c r="D221" s="336"/>
      <c r="E221" s="176">
        <f t="shared" si="3"/>
        <v>283340.39000002173</v>
      </c>
      <c r="F221" s="174"/>
      <c r="G221" s="174"/>
      <c r="H221" s="174"/>
      <c r="I221" s="174"/>
      <c r="J221" s="174"/>
      <c r="K221" s="178"/>
      <c r="L221" s="66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3.5" customHeight="1" x14ac:dyDescent="0.25">
      <c r="A222" s="175">
        <v>46064</v>
      </c>
      <c r="B222" s="170" t="s">
        <v>225</v>
      </c>
      <c r="C222" s="335">
        <v>6</v>
      </c>
      <c r="D222" s="336"/>
      <c r="E222" s="176">
        <f t="shared" si="3"/>
        <v>283334.39000002173</v>
      </c>
      <c r="F222" s="174"/>
      <c r="G222" s="174"/>
      <c r="H222" s="174"/>
      <c r="I222" s="174"/>
      <c r="J222" s="174"/>
      <c r="K222" s="178"/>
      <c r="L222" s="66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3.5" customHeight="1" x14ac:dyDescent="0.25">
      <c r="A223" s="175">
        <v>46064</v>
      </c>
      <c r="B223" s="170" t="s">
        <v>226</v>
      </c>
      <c r="C223" s="335">
        <v>0.96</v>
      </c>
      <c r="D223" s="336"/>
      <c r="E223" s="176">
        <f t="shared" si="3"/>
        <v>283333.4300000217</v>
      </c>
      <c r="F223" s="204"/>
      <c r="G223" s="181"/>
      <c r="H223" s="205"/>
      <c r="I223" s="181"/>
      <c r="J223" s="206"/>
      <c r="K223" s="178"/>
      <c r="L223" s="66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3.5" customHeight="1" x14ac:dyDescent="0.25">
      <c r="A224" s="175">
        <v>46064</v>
      </c>
      <c r="B224" s="170" t="s">
        <v>273</v>
      </c>
      <c r="C224" s="336"/>
      <c r="D224" s="335">
        <v>6405.02</v>
      </c>
      <c r="E224" s="176">
        <f t="shared" si="3"/>
        <v>289738.45000002172</v>
      </c>
      <c r="F224" s="174"/>
      <c r="G224" s="174"/>
      <c r="H224" s="174"/>
      <c r="I224" s="174"/>
      <c r="J224" s="174"/>
      <c r="K224" s="178"/>
      <c r="L224" s="66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3.5" customHeight="1" x14ac:dyDescent="0.25">
      <c r="A225" s="175">
        <v>46065</v>
      </c>
      <c r="B225" s="170" t="s">
        <v>274</v>
      </c>
      <c r="C225" s="336"/>
      <c r="D225" s="335">
        <v>331292</v>
      </c>
      <c r="E225" s="176">
        <f t="shared" si="3"/>
        <v>621030.45000002172</v>
      </c>
      <c r="F225" s="173"/>
      <c r="G225" s="174"/>
      <c r="H225" s="177"/>
      <c r="I225" s="197"/>
      <c r="J225" s="174"/>
      <c r="K225" s="178"/>
      <c r="L225" s="66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3.5" customHeight="1" x14ac:dyDescent="0.25">
      <c r="A226" s="175">
        <v>46065</v>
      </c>
      <c r="B226" s="170" t="s">
        <v>275</v>
      </c>
      <c r="C226" s="335">
        <v>4818.1499999999996</v>
      </c>
      <c r="D226" s="336"/>
      <c r="E226" s="176">
        <f t="shared" si="3"/>
        <v>616212.3000000217</v>
      </c>
      <c r="F226" s="174"/>
      <c r="G226" s="174"/>
      <c r="H226" s="174"/>
      <c r="I226" s="197"/>
      <c r="J226" s="174"/>
      <c r="K226" s="178"/>
      <c r="L226" s="66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3.5" customHeight="1" x14ac:dyDescent="0.25">
      <c r="A227" s="175">
        <v>46065</v>
      </c>
      <c r="B227" s="170" t="s">
        <v>225</v>
      </c>
      <c r="C227" s="335">
        <v>6</v>
      </c>
      <c r="D227" s="336"/>
      <c r="E227" s="176">
        <f t="shared" si="3"/>
        <v>616206.3000000217</v>
      </c>
      <c r="F227" s="174"/>
      <c r="G227" s="174"/>
      <c r="H227" s="174"/>
      <c r="I227" s="174"/>
      <c r="J227" s="174"/>
      <c r="K227" s="178"/>
      <c r="L227" s="66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3.5" customHeight="1" x14ac:dyDescent="0.25">
      <c r="A228" s="175">
        <v>46065</v>
      </c>
      <c r="B228" s="170" t="s">
        <v>226</v>
      </c>
      <c r="C228" s="335">
        <v>0.96</v>
      </c>
      <c r="D228" s="336"/>
      <c r="E228" s="176">
        <f t="shared" si="3"/>
        <v>616205.34000002174</v>
      </c>
      <c r="F228" s="174"/>
      <c r="G228" s="174"/>
      <c r="H228" s="174"/>
      <c r="I228" s="174"/>
      <c r="J228" s="174"/>
      <c r="K228" s="178"/>
      <c r="L228" s="66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3.5" customHeight="1" x14ac:dyDescent="0.25">
      <c r="A229" s="175">
        <v>46065</v>
      </c>
      <c r="B229" s="170" t="s">
        <v>276</v>
      </c>
      <c r="C229" s="335">
        <v>1585.36</v>
      </c>
      <c r="D229" s="336"/>
      <c r="E229" s="176">
        <f t="shared" si="3"/>
        <v>614619.98000002175</v>
      </c>
      <c r="F229" s="174"/>
      <c r="G229" s="174"/>
      <c r="H229" s="174"/>
      <c r="I229" s="174"/>
      <c r="J229" s="174"/>
      <c r="K229" s="178"/>
      <c r="L229" s="66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3.5" customHeight="1" x14ac:dyDescent="0.25">
      <c r="A230" s="175">
        <v>46065</v>
      </c>
      <c r="B230" s="170" t="s">
        <v>225</v>
      </c>
      <c r="C230" s="335">
        <v>6</v>
      </c>
      <c r="D230" s="336"/>
      <c r="E230" s="176">
        <f t="shared" si="3"/>
        <v>614613.98000002175</v>
      </c>
      <c r="F230" s="174"/>
      <c r="G230" s="174"/>
      <c r="H230" s="174"/>
      <c r="I230" s="174"/>
      <c r="J230" s="174"/>
      <c r="K230" s="178"/>
      <c r="L230" s="66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3.5" customHeight="1" x14ac:dyDescent="0.25">
      <c r="A231" s="175">
        <v>46065</v>
      </c>
      <c r="B231" s="170" t="s">
        <v>226</v>
      </c>
      <c r="C231" s="335">
        <v>0.96</v>
      </c>
      <c r="D231" s="336"/>
      <c r="E231" s="176">
        <f t="shared" si="3"/>
        <v>614613.02000002179</v>
      </c>
      <c r="F231" s="174"/>
      <c r="G231" s="174"/>
      <c r="H231" s="174"/>
      <c r="I231" s="174"/>
      <c r="J231" s="174"/>
      <c r="K231" s="178"/>
      <c r="L231" s="66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3.5" customHeight="1" x14ac:dyDescent="0.25">
      <c r="A232" s="175">
        <v>46065</v>
      </c>
      <c r="B232" s="170" t="s">
        <v>277</v>
      </c>
      <c r="C232" s="335">
        <v>3838.23</v>
      </c>
      <c r="D232" s="336"/>
      <c r="E232" s="176">
        <f t="shared" si="3"/>
        <v>610774.79000002181</v>
      </c>
      <c r="F232" s="204"/>
      <c r="G232" s="181"/>
      <c r="H232" s="205"/>
      <c r="I232" s="181"/>
      <c r="J232" s="206"/>
      <c r="K232" s="178"/>
      <c r="L232" s="66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3.5" customHeight="1" x14ac:dyDescent="0.25">
      <c r="A233" s="175">
        <v>46065</v>
      </c>
      <c r="B233" s="170" t="s">
        <v>225</v>
      </c>
      <c r="C233" s="335">
        <v>6</v>
      </c>
      <c r="D233" s="336"/>
      <c r="E233" s="176">
        <f t="shared" si="3"/>
        <v>610768.79000002181</v>
      </c>
      <c r="F233" s="174"/>
      <c r="G233" s="174"/>
      <c r="H233" s="174"/>
      <c r="I233" s="174"/>
      <c r="J233" s="174"/>
      <c r="K233" s="178"/>
      <c r="L233" s="66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3.5" customHeight="1" x14ac:dyDescent="0.25">
      <c r="A234" s="175">
        <v>46065</v>
      </c>
      <c r="B234" s="170" t="s">
        <v>226</v>
      </c>
      <c r="C234" s="335">
        <v>0.96</v>
      </c>
      <c r="D234" s="336"/>
      <c r="E234" s="176">
        <f t="shared" si="3"/>
        <v>610767.83000002184</v>
      </c>
      <c r="F234" s="173"/>
      <c r="G234" s="174"/>
      <c r="H234" s="177"/>
      <c r="I234" s="197"/>
      <c r="J234" s="174"/>
      <c r="K234" s="178"/>
      <c r="L234" s="66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3.5" customHeight="1" x14ac:dyDescent="0.25">
      <c r="A235" s="175">
        <v>46065</v>
      </c>
      <c r="B235" s="170" t="s">
        <v>278</v>
      </c>
      <c r="C235" s="335">
        <v>6837.5</v>
      </c>
      <c r="D235" s="336"/>
      <c r="E235" s="176">
        <f t="shared" si="3"/>
        <v>603930.33000002184</v>
      </c>
      <c r="F235" s="173"/>
      <c r="G235" s="174"/>
      <c r="H235" s="177"/>
      <c r="I235" s="197"/>
      <c r="J235" s="174"/>
      <c r="K235" s="178"/>
      <c r="L235" s="66"/>
      <c r="M235" s="67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3.5" customHeight="1" x14ac:dyDescent="0.25">
      <c r="A236" s="175">
        <v>46065</v>
      </c>
      <c r="B236" s="170" t="s">
        <v>225</v>
      </c>
      <c r="C236" s="335">
        <v>6</v>
      </c>
      <c r="D236" s="336"/>
      <c r="E236" s="176">
        <f t="shared" si="3"/>
        <v>603924.33000002184</v>
      </c>
      <c r="F236" s="173"/>
      <c r="G236" s="174"/>
      <c r="H236" s="174"/>
      <c r="I236" s="174"/>
      <c r="J236" s="174"/>
      <c r="K236" s="178"/>
      <c r="L236" s="66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3.5" customHeight="1" x14ac:dyDescent="0.25">
      <c r="A237" s="175">
        <v>46065</v>
      </c>
      <c r="B237" s="170" t="s">
        <v>226</v>
      </c>
      <c r="C237" s="335">
        <v>0.96</v>
      </c>
      <c r="D237" s="336"/>
      <c r="E237" s="176">
        <f t="shared" si="3"/>
        <v>603923.37000002188</v>
      </c>
      <c r="F237" s="174"/>
      <c r="G237" s="174"/>
      <c r="H237" s="174"/>
      <c r="I237" s="174"/>
      <c r="J237" s="174"/>
      <c r="K237" s="178"/>
      <c r="L237" s="66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3.5" customHeight="1" x14ac:dyDescent="0.25">
      <c r="A238" s="175">
        <v>46065</v>
      </c>
      <c r="B238" s="170" t="s">
        <v>279</v>
      </c>
      <c r="C238" s="335">
        <v>443.46</v>
      </c>
      <c r="D238" s="336"/>
      <c r="E238" s="176">
        <f t="shared" si="3"/>
        <v>603479.91000002192</v>
      </c>
      <c r="F238" s="174"/>
      <c r="G238" s="174"/>
      <c r="H238" s="174"/>
      <c r="I238" s="174"/>
      <c r="J238" s="174"/>
      <c r="K238" s="178"/>
      <c r="L238" s="66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3.5" customHeight="1" x14ac:dyDescent="0.25">
      <c r="A239" s="175">
        <v>46065</v>
      </c>
      <c r="B239" s="170" t="s">
        <v>225</v>
      </c>
      <c r="C239" s="335">
        <v>6</v>
      </c>
      <c r="D239" s="336"/>
      <c r="E239" s="176">
        <f t="shared" si="3"/>
        <v>603473.91000002192</v>
      </c>
      <c r="F239" s="174"/>
      <c r="G239" s="174"/>
      <c r="H239" s="174"/>
      <c r="I239" s="174"/>
      <c r="J239" s="174"/>
      <c r="K239" s="178"/>
      <c r="L239" s="66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3.5" customHeight="1" x14ac:dyDescent="0.25">
      <c r="A240" s="175">
        <v>46065</v>
      </c>
      <c r="B240" s="170" t="s">
        <v>226</v>
      </c>
      <c r="C240" s="335">
        <v>0.96</v>
      </c>
      <c r="D240" s="336"/>
      <c r="E240" s="176">
        <f t="shared" si="3"/>
        <v>603472.95000002196</v>
      </c>
      <c r="F240" s="174"/>
      <c r="G240" s="174"/>
      <c r="H240" s="174"/>
      <c r="I240" s="174"/>
      <c r="J240" s="174"/>
      <c r="K240" s="178"/>
      <c r="L240" s="66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3.5" customHeight="1" x14ac:dyDescent="0.25">
      <c r="A241" s="175">
        <v>46065</v>
      </c>
      <c r="B241" s="170" t="s">
        <v>280</v>
      </c>
      <c r="C241" s="335">
        <v>1413.5</v>
      </c>
      <c r="D241" s="336"/>
      <c r="E241" s="176">
        <f t="shared" si="3"/>
        <v>602059.45000002196</v>
      </c>
      <c r="F241" s="174"/>
      <c r="G241" s="174"/>
      <c r="H241" s="174"/>
      <c r="I241" s="174"/>
      <c r="J241" s="174"/>
      <c r="K241" s="178"/>
      <c r="L241" s="66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3.5" customHeight="1" x14ac:dyDescent="0.25">
      <c r="A242" s="175">
        <v>46065</v>
      </c>
      <c r="B242" s="170" t="s">
        <v>225</v>
      </c>
      <c r="C242" s="335">
        <v>6</v>
      </c>
      <c r="D242" s="336"/>
      <c r="E242" s="176">
        <f t="shared" si="3"/>
        <v>602053.45000002196</v>
      </c>
      <c r="F242" s="174"/>
      <c r="G242" s="174"/>
      <c r="H242" s="174"/>
      <c r="I242" s="174"/>
      <c r="J242" s="174"/>
      <c r="K242" s="178"/>
      <c r="L242" s="66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3.5" customHeight="1" x14ac:dyDescent="0.25">
      <c r="A243" s="175">
        <v>46065</v>
      </c>
      <c r="B243" s="170" t="s">
        <v>226</v>
      </c>
      <c r="C243" s="335">
        <v>0.96</v>
      </c>
      <c r="D243" s="336"/>
      <c r="E243" s="176">
        <f t="shared" si="3"/>
        <v>602052.49000002199</v>
      </c>
      <c r="F243" s="174"/>
      <c r="G243" s="174"/>
      <c r="H243" s="174"/>
      <c r="I243" s="174"/>
      <c r="J243" s="174"/>
      <c r="K243" s="178"/>
      <c r="L243" s="66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3.5" customHeight="1" x14ac:dyDescent="0.25">
      <c r="A244" s="175">
        <v>46065</v>
      </c>
      <c r="B244" s="170" t="s">
        <v>281</v>
      </c>
      <c r="C244" s="335">
        <v>8400</v>
      </c>
      <c r="D244" s="336"/>
      <c r="E244" s="176">
        <f t="shared" si="3"/>
        <v>593652.49000002199</v>
      </c>
      <c r="F244" s="174"/>
      <c r="G244" s="174"/>
      <c r="H244" s="174"/>
      <c r="I244" s="174"/>
      <c r="J244" s="174"/>
      <c r="K244" s="178"/>
      <c r="L244" s="66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3.5" customHeight="1" x14ac:dyDescent="0.25">
      <c r="A245" s="175">
        <v>46065</v>
      </c>
      <c r="B245" s="170" t="s">
        <v>225</v>
      </c>
      <c r="C245" s="335">
        <v>6</v>
      </c>
      <c r="D245" s="336"/>
      <c r="E245" s="176">
        <f t="shared" si="3"/>
        <v>593646.49000002199</v>
      </c>
      <c r="F245" s="174"/>
      <c r="G245" s="174"/>
      <c r="H245" s="174"/>
      <c r="I245" s="174"/>
      <c r="J245" s="174"/>
      <c r="K245" s="178"/>
      <c r="L245" s="66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3.5" customHeight="1" x14ac:dyDescent="0.25">
      <c r="A246" s="175">
        <v>46065</v>
      </c>
      <c r="B246" s="170" t="s">
        <v>226</v>
      </c>
      <c r="C246" s="335">
        <v>0.96</v>
      </c>
      <c r="D246" s="336"/>
      <c r="E246" s="176">
        <f t="shared" si="3"/>
        <v>593645.53000002203</v>
      </c>
      <c r="F246" s="174"/>
      <c r="G246" s="174"/>
      <c r="H246" s="174"/>
      <c r="I246" s="174"/>
      <c r="J246" s="174"/>
      <c r="K246" s="178"/>
      <c r="L246" s="66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3.5" customHeight="1" x14ac:dyDescent="0.25">
      <c r="A247" s="175">
        <v>46065</v>
      </c>
      <c r="B247" s="170" t="s">
        <v>282</v>
      </c>
      <c r="C247" s="335">
        <v>4427.46</v>
      </c>
      <c r="D247" s="336"/>
      <c r="E247" s="176">
        <f t="shared" si="3"/>
        <v>589218.07000002207</v>
      </c>
      <c r="F247" s="174"/>
      <c r="G247" s="174"/>
      <c r="H247" s="174"/>
      <c r="I247" s="174"/>
      <c r="J247" s="174"/>
      <c r="K247" s="178"/>
      <c r="L247" s="66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3.5" customHeight="1" x14ac:dyDescent="0.25">
      <c r="A248" s="175">
        <v>46065</v>
      </c>
      <c r="B248" s="170" t="s">
        <v>225</v>
      </c>
      <c r="C248" s="335">
        <v>6</v>
      </c>
      <c r="D248" s="336"/>
      <c r="E248" s="176">
        <f t="shared" si="3"/>
        <v>589212.07000002207</v>
      </c>
      <c r="F248" s="174"/>
      <c r="G248" s="174"/>
      <c r="H248" s="174"/>
      <c r="I248" s="174"/>
      <c r="J248" s="174"/>
      <c r="K248" s="178"/>
      <c r="L248" s="66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3.5" customHeight="1" x14ac:dyDescent="0.25">
      <c r="A249" s="175">
        <v>46065</v>
      </c>
      <c r="B249" s="170" t="s">
        <v>226</v>
      </c>
      <c r="C249" s="335">
        <v>0.96</v>
      </c>
      <c r="D249" s="336"/>
      <c r="E249" s="176">
        <f t="shared" si="3"/>
        <v>589211.1100000221</v>
      </c>
      <c r="F249" s="204"/>
      <c r="G249" s="181"/>
      <c r="H249" s="205"/>
      <c r="I249" s="181"/>
      <c r="J249" s="206"/>
      <c r="K249" s="178"/>
      <c r="L249" s="66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3.5" customHeight="1" x14ac:dyDescent="0.25">
      <c r="A250" s="175">
        <v>46065</v>
      </c>
      <c r="B250" s="170" t="s">
        <v>159</v>
      </c>
      <c r="C250" s="336"/>
      <c r="D250" s="335">
        <v>575000</v>
      </c>
      <c r="E250" s="176">
        <f t="shared" si="3"/>
        <v>1164211.1100000222</v>
      </c>
      <c r="F250" s="174"/>
      <c r="G250" s="174"/>
      <c r="H250" s="174"/>
      <c r="I250" s="174"/>
      <c r="J250" s="174"/>
      <c r="K250" s="178"/>
      <c r="L250" s="66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3.5" customHeight="1" x14ac:dyDescent="0.25">
      <c r="A251" s="175">
        <v>46065</v>
      </c>
      <c r="B251" s="170" t="s">
        <v>283</v>
      </c>
      <c r="C251" s="335">
        <v>253662.12</v>
      </c>
      <c r="D251" s="336"/>
      <c r="E251" s="176">
        <f t="shared" si="3"/>
        <v>910548.99000002223</v>
      </c>
      <c r="F251" s="174"/>
      <c r="G251" s="174"/>
      <c r="H251" s="174"/>
      <c r="I251" s="174"/>
      <c r="J251" s="174"/>
      <c r="K251" s="178"/>
      <c r="L251" s="66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3.5" customHeight="1" x14ac:dyDescent="0.25">
      <c r="A252" s="175">
        <v>46065</v>
      </c>
      <c r="B252" s="170" t="s">
        <v>284</v>
      </c>
      <c r="C252" s="335">
        <v>321050.52</v>
      </c>
      <c r="D252" s="336"/>
      <c r="E252" s="176">
        <f t="shared" si="3"/>
        <v>589498.47000002221</v>
      </c>
      <c r="F252" s="174"/>
      <c r="G252" s="174"/>
      <c r="H252" s="174"/>
      <c r="I252" s="174"/>
      <c r="J252" s="174"/>
      <c r="K252" s="178"/>
      <c r="L252" s="66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3.5" customHeight="1" x14ac:dyDescent="0.25">
      <c r="A253" s="175">
        <v>46066</v>
      </c>
      <c r="B253" s="170" t="s">
        <v>285</v>
      </c>
      <c r="C253" s="336"/>
      <c r="D253" s="335">
        <v>105811</v>
      </c>
      <c r="E253" s="176">
        <f t="shared" si="3"/>
        <v>695309.47000002221</v>
      </c>
      <c r="F253" s="174"/>
      <c r="G253" s="174"/>
      <c r="H253" s="174"/>
      <c r="I253" s="174"/>
      <c r="J253" s="174"/>
      <c r="K253" s="178"/>
      <c r="L253" s="66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3.5" customHeight="1" x14ac:dyDescent="0.25">
      <c r="A254" s="175">
        <v>46066</v>
      </c>
      <c r="B254" s="170" t="s">
        <v>286</v>
      </c>
      <c r="C254" s="336"/>
      <c r="D254" s="335">
        <v>99140</v>
      </c>
      <c r="E254" s="176">
        <f t="shared" si="3"/>
        <v>794449.47000002221</v>
      </c>
      <c r="F254" s="174"/>
      <c r="G254" s="174"/>
      <c r="H254" s="174"/>
      <c r="I254" s="174"/>
      <c r="J254" s="174"/>
      <c r="K254" s="178"/>
      <c r="L254" s="66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3.5" customHeight="1" x14ac:dyDescent="0.25">
      <c r="A255" s="175">
        <v>46066</v>
      </c>
      <c r="B255" s="170" t="s">
        <v>287</v>
      </c>
      <c r="C255" s="335">
        <v>2000</v>
      </c>
      <c r="D255" s="336"/>
      <c r="E255" s="176">
        <f t="shared" si="3"/>
        <v>792449.47000002221</v>
      </c>
      <c r="F255" s="174"/>
      <c r="G255" s="174"/>
      <c r="H255" s="174"/>
      <c r="I255" s="174"/>
      <c r="J255" s="174"/>
      <c r="K255" s="178"/>
      <c r="L255" s="66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3.5" customHeight="1" x14ac:dyDescent="0.25">
      <c r="A256" s="175">
        <v>46066</v>
      </c>
      <c r="B256" s="170" t="s">
        <v>225</v>
      </c>
      <c r="C256" s="335">
        <v>6</v>
      </c>
      <c r="D256" s="336"/>
      <c r="E256" s="176">
        <f t="shared" si="3"/>
        <v>792443.47000002221</v>
      </c>
      <c r="F256" s="174"/>
      <c r="G256" s="174"/>
      <c r="H256" s="174"/>
      <c r="I256" s="174"/>
      <c r="J256" s="174"/>
      <c r="K256" s="178"/>
      <c r="L256" s="66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3.5" customHeight="1" x14ac:dyDescent="0.25">
      <c r="A257" s="175">
        <v>46066</v>
      </c>
      <c r="B257" s="170" t="s">
        <v>226</v>
      </c>
      <c r="C257" s="335">
        <v>0.96</v>
      </c>
      <c r="D257" s="336"/>
      <c r="E257" s="176">
        <f t="shared" si="3"/>
        <v>792442.51000002224</v>
      </c>
      <c r="F257" s="174"/>
      <c r="G257" s="174"/>
      <c r="H257" s="174"/>
      <c r="I257" s="174"/>
      <c r="J257" s="174"/>
      <c r="K257" s="178"/>
      <c r="L257" s="66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3.5" customHeight="1" x14ac:dyDescent="0.25">
      <c r="A258" s="175">
        <v>46066</v>
      </c>
      <c r="B258" s="170" t="s">
        <v>288</v>
      </c>
      <c r="C258" s="335">
        <v>9110</v>
      </c>
      <c r="D258" s="336"/>
      <c r="E258" s="176">
        <f t="shared" si="3"/>
        <v>783332.51000002224</v>
      </c>
      <c r="F258" s="174"/>
      <c r="G258" s="174"/>
      <c r="H258" s="174"/>
      <c r="I258" s="174"/>
      <c r="J258" s="174"/>
      <c r="K258" s="178"/>
      <c r="L258" s="66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3.5" customHeight="1" x14ac:dyDescent="0.25">
      <c r="A259" s="175">
        <v>46066</v>
      </c>
      <c r="B259" s="170" t="s">
        <v>289</v>
      </c>
      <c r="C259" s="335">
        <v>25950</v>
      </c>
      <c r="D259" s="336"/>
      <c r="E259" s="176">
        <f t="shared" si="3"/>
        <v>757382.51000002224</v>
      </c>
      <c r="F259" s="174"/>
      <c r="G259" s="174"/>
      <c r="H259" s="174"/>
      <c r="I259" s="174"/>
      <c r="J259" s="174"/>
      <c r="K259" s="178"/>
      <c r="L259" s="66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3.5" customHeight="1" x14ac:dyDescent="0.25">
      <c r="A260" s="175">
        <v>46066</v>
      </c>
      <c r="B260" s="170" t="s">
        <v>290</v>
      </c>
      <c r="C260" s="335">
        <v>32900</v>
      </c>
      <c r="D260" s="336"/>
      <c r="E260" s="176">
        <f t="shared" si="3"/>
        <v>724482.51000002224</v>
      </c>
      <c r="F260" s="174"/>
      <c r="G260" s="174"/>
      <c r="H260" s="174"/>
      <c r="I260" s="174"/>
      <c r="J260" s="174"/>
      <c r="K260" s="178"/>
      <c r="L260" s="66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3.5" customHeight="1" x14ac:dyDescent="0.25">
      <c r="A261" s="175">
        <v>46066</v>
      </c>
      <c r="B261" s="170" t="s">
        <v>291</v>
      </c>
      <c r="C261" s="335">
        <v>6497</v>
      </c>
      <c r="D261" s="336"/>
      <c r="E261" s="176">
        <f t="shared" si="3"/>
        <v>717985.51000002224</v>
      </c>
      <c r="F261" s="174"/>
      <c r="G261" s="174"/>
      <c r="H261" s="174"/>
      <c r="I261" s="174"/>
      <c r="J261" s="174"/>
      <c r="K261" s="178"/>
      <c r="L261" s="66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3.5" customHeight="1" x14ac:dyDescent="0.25">
      <c r="A262" s="175">
        <v>46066</v>
      </c>
      <c r="B262" s="170" t="s">
        <v>292</v>
      </c>
      <c r="C262" s="335">
        <v>4032</v>
      </c>
      <c r="D262" s="336"/>
      <c r="E262" s="176">
        <f t="shared" si="3"/>
        <v>713953.51000002224</v>
      </c>
      <c r="F262" s="174"/>
      <c r="G262" s="174"/>
      <c r="H262" s="174"/>
      <c r="I262" s="174"/>
      <c r="J262" s="174"/>
      <c r="K262" s="178"/>
      <c r="L262" s="66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3.5" customHeight="1" x14ac:dyDescent="0.25">
      <c r="A263" s="175">
        <v>46066</v>
      </c>
      <c r="B263" s="170" t="s">
        <v>225</v>
      </c>
      <c r="C263" s="335">
        <v>6</v>
      </c>
      <c r="D263" s="336"/>
      <c r="E263" s="176">
        <f t="shared" si="3"/>
        <v>713947.51000002224</v>
      </c>
      <c r="F263" s="174"/>
      <c r="G263" s="174"/>
      <c r="H263" s="174"/>
      <c r="I263" s="174"/>
      <c r="J263" s="174"/>
      <c r="K263" s="178"/>
      <c r="L263" s="66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3.5" customHeight="1" x14ac:dyDescent="0.25">
      <c r="A264" s="175">
        <v>46066</v>
      </c>
      <c r="B264" s="170" t="s">
        <v>226</v>
      </c>
      <c r="C264" s="335">
        <v>0.96</v>
      </c>
      <c r="D264" s="336"/>
      <c r="E264" s="176">
        <f t="shared" ref="E264:E327" si="4">E263-C264+D264</f>
        <v>713946.55000002228</v>
      </c>
      <c r="F264" s="174"/>
      <c r="G264" s="174"/>
      <c r="H264" s="174"/>
      <c r="I264" s="174"/>
      <c r="J264" s="174"/>
      <c r="K264" s="178"/>
      <c r="L264" s="66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3.5" customHeight="1" x14ac:dyDescent="0.25">
      <c r="A265" s="175">
        <v>46066</v>
      </c>
      <c r="B265" s="170" t="s">
        <v>293</v>
      </c>
      <c r="C265" s="335">
        <v>27760</v>
      </c>
      <c r="D265" s="336"/>
      <c r="E265" s="176">
        <f t="shared" si="4"/>
        <v>686186.55000002228</v>
      </c>
      <c r="F265" s="174"/>
      <c r="G265" s="174"/>
      <c r="H265" s="174"/>
      <c r="I265" s="174"/>
      <c r="J265" s="174"/>
      <c r="K265" s="178"/>
      <c r="L265" s="66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3.5" customHeight="1" x14ac:dyDescent="0.25">
      <c r="A266" s="175">
        <v>46066</v>
      </c>
      <c r="B266" s="170" t="s">
        <v>225</v>
      </c>
      <c r="C266" s="335">
        <v>6</v>
      </c>
      <c r="D266" s="336"/>
      <c r="E266" s="176">
        <f t="shared" si="4"/>
        <v>686180.55000002228</v>
      </c>
      <c r="F266" s="174"/>
      <c r="G266" s="174"/>
      <c r="H266" s="174"/>
      <c r="I266" s="174"/>
      <c r="J266" s="174"/>
      <c r="K266" s="178"/>
      <c r="L266" s="66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3.5" customHeight="1" x14ac:dyDescent="0.25">
      <c r="A267" s="175">
        <v>46066</v>
      </c>
      <c r="B267" s="170" t="s">
        <v>226</v>
      </c>
      <c r="C267" s="335">
        <v>0.96</v>
      </c>
      <c r="D267" s="336"/>
      <c r="E267" s="176">
        <f t="shared" si="4"/>
        <v>686179.59000002232</v>
      </c>
      <c r="F267" s="174"/>
      <c r="G267" s="174"/>
      <c r="H267" s="174"/>
      <c r="I267" s="174"/>
      <c r="J267" s="174"/>
      <c r="K267" s="178"/>
      <c r="L267" s="66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3.5" customHeight="1" x14ac:dyDescent="0.25">
      <c r="A268" s="175">
        <v>46066</v>
      </c>
      <c r="B268" s="170" t="s">
        <v>294</v>
      </c>
      <c r="C268" s="335">
        <v>38000</v>
      </c>
      <c r="D268" s="336"/>
      <c r="E268" s="176">
        <f t="shared" si="4"/>
        <v>648179.59000002232</v>
      </c>
      <c r="F268" s="174"/>
      <c r="G268" s="174"/>
      <c r="H268" s="174"/>
      <c r="I268" s="174"/>
      <c r="J268" s="174"/>
      <c r="K268" s="178"/>
      <c r="L268" s="66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3.5" customHeight="1" x14ac:dyDescent="0.25">
      <c r="A269" s="175">
        <v>46066</v>
      </c>
      <c r="B269" s="170" t="s">
        <v>225</v>
      </c>
      <c r="C269" s="335">
        <v>6</v>
      </c>
      <c r="D269" s="336"/>
      <c r="E269" s="176">
        <f t="shared" si="4"/>
        <v>648173.59000002232</v>
      </c>
      <c r="F269" s="174"/>
      <c r="G269" s="174"/>
      <c r="H269" s="174"/>
      <c r="I269" s="174"/>
      <c r="J269" s="174"/>
      <c r="K269" s="178"/>
      <c r="L269" s="66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3.5" customHeight="1" x14ac:dyDescent="0.25">
      <c r="A270" s="175">
        <v>46066</v>
      </c>
      <c r="B270" s="170" t="s">
        <v>226</v>
      </c>
      <c r="C270" s="335">
        <v>0.96</v>
      </c>
      <c r="D270" s="336"/>
      <c r="E270" s="176">
        <f t="shared" si="4"/>
        <v>648172.63000002236</v>
      </c>
      <c r="F270" s="204"/>
      <c r="G270" s="181"/>
      <c r="H270" s="205"/>
      <c r="I270" s="181"/>
      <c r="J270" s="206"/>
      <c r="K270" s="178"/>
      <c r="L270" s="66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3.5" customHeight="1" x14ac:dyDescent="0.25">
      <c r="A271" s="175">
        <v>46066</v>
      </c>
      <c r="B271" s="170" t="s">
        <v>295</v>
      </c>
      <c r="C271" s="335">
        <v>7720</v>
      </c>
      <c r="D271" s="336"/>
      <c r="E271" s="176">
        <f t="shared" si="4"/>
        <v>640452.63000002236</v>
      </c>
      <c r="F271" s="174"/>
      <c r="G271" s="174"/>
      <c r="H271" s="174"/>
      <c r="I271" s="174"/>
      <c r="J271" s="174"/>
      <c r="K271" s="178"/>
      <c r="L271" s="66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3.5" customHeight="1" x14ac:dyDescent="0.25">
      <c r="A272" s="175">
        <v>46066</v>
      </c>
      <c r="B272" s="170" t="s">
        <v>225</v>
      </c>
      <c r="C272" s="335">
        <v>6</v>
      </c>
      <c r="D272" s="336"/>
      <c r="E272" s="176">
        <f t="shared" si="4"/>
        <v>640446.63000002236</v>
      </c>
      <c r="F272" s="174"/>
      <c r="G272" s="174"/>
      <c r="H272" s="174"/>
      <c r="I272" s="174"/>
      <c r="J272" s="174"/>
      <c r="K272" s="178"/>
      <c r="L272" s="66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3.5" customHeight="1" x14ac:dyDescent="0.25">
      <c r="A273" s="175">
        <v>46066</v>
      </c>
      <c r="B273" s="170" t="s">
        <v>226</v>
      </c>
      <c r="C273" s="335">
        <v>0.96</v>
      </c>
      <c r="D273" s="336"/>
      <c r="E273" s="176">
        <f t="shared" si="4"/>
        <v>640445.67000002239</v>
      </c>
      <c r="F273" s="174"/>
      <c r="G273" s="174"/>
      <c r="H273" s="174"/>
      <c r="I273" s="174"/>
      <c r="J273" s="174"/>
      <c r="K273" s="178"/>
      <c r="L273" s="66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3.5" customHeight="1" x14ac:dyDescent="0.25">
      <c r="A274" s="175">
        <v>46066</v>
      </c>
      <c r="B274" s="170" t="s">
        <v>296</v>
      </c>
      <c r="C274" s="335">
        <v>1500</v>
      </c>
      <c r="D274" s="336"/>
      <c r="E274" s="176">
        <f t="shared" si="4"/>
        <v>638945.67000002239</v>
      </c>
      <c r="F274" s="174"/>
      <c r="G274" s="174"/>
      <c r="H274" s="174"/>
      <c r="I274" s="174"/>
      <c r="J274" s="174"/>
      <c r="K274" s="178"/>
      <c r="L274" s="66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3.5" customHeight="1" x14ac:dyDescent="0.25">
      <c r="A275" s="175">
        <v>46066</v>
      </c>
      <c r="B275" s="170" t="s">
        <v>225</v>
      </c>
      <c r="C275" s="335">
        <v>6</v>
      </c>
      <c r="D275" s="336"/>
      <c r="E275" s="176">
        <f t="shared" si="4"/>
        <v>638939.67000002239</v>
      </c>
      <c r="F275" s="173"/>
      <c r="G275" s="174"/>
      <c r="H275" s="177"/>
      <c r="I275" s="197"/>
      <c r="J275" s="174"/>
      <c r="K275" s="178"/>
      <c r="L275" s="66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3.5" customHeight="1" x14ac:dyDescent="0.25">
      <c r="A276" s="175">
        <v>46066</v>
      </c>
      <c r="B276" s="170" t="s">
        <v>226</v>
      </c>
      <c r="C276" s="335">
        <v>0.96</v>
      </c>
      <c r="D276" s="336"/>
      <c r="E276" s="176">
        <f t="shared" si="4"/>
        <v>638938.71000002243</v>
      </c>
      <c r="F276" s="173"/>
      <c r="G276" s="174"/>
      <c r="H276" s="177"/>
      <c r="I276" s="197"/>
      <c r="J276" s="174"/>
      <c r="K276" s="178"/>
      <c r="L276" s="66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3.5" customHeight="1" x14ac:dyDescent="0.25">
      <c r="A277" s="175">
        <v>46066</v>
      </c>
      <c r="B277" s="170" t="s">
        <v>297</v>
      </c>
      <c r="C277" s="335">
        <v>4780</v>
      </c>
      <c r="D277" s="336"/>
      <c r="E277" s="176">
        <f t="shared" si="4"/>
        <v>634158.71000002243</v>
      </c>
      <c r="F277" s="174"/>
      <c r="G277" s="174"/>
      <c r="H277" s="174"/>
      <c r="I277" s="174"/>
      <c r="J277" s="174"/>
      <c r="K277" s="178"/>
      <c r="L277" s="66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3.5" customHeight="1" x14ac:dyDescent="0.25">
      <c r="A278" s="175">
        <v>46066</v>
      </c>
      <c r="B278" s="170" t="s">
        <v>225</v>
      </c>
      <c r="C278" s="335">
        <v>6</v>
      </c>
      <c r="D278" s="336"/>
      <c r="E278" s="176">
        <f t="shared" si="4"/>
        <v>634152.71000002243</v>
      </c>
      <c r="F278" s="174"/>
      <c r="G278" s="174"/>
      <c r="H278" s="174"/>
      <c r="I278" s="174"/>
      <c r="J278" s="174"/>
      <c r="K278" s="178"/>
      <c r="L278" s="66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3.5" customHeight="1" x14ac:dyDescent="0.25">
      <c r="A279" s="175">
        <v>46066</v>
      </c>
      <c r="B279" s="170" t="s">
        <v>226</v>
      </c>
      <c r="C279" s="335">
        <v>0.96</v>
      </c>
      <c r="D279" s="336"/>
      <c r="E279" s="176">
        <f t="shared" si="4"/>
        <v>634151.75000002247</v>
      </c>
      <c r="F279" s="174"/>
      <c r="G279" s="174"/>
      <c r="H279" s="174"/>
      <c r="I279" s="174"/>
      <c r="J279" s="174"/>
      <c r="K279" s="178"/>
      <c r="L279" s="66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3.5" customHeight="1" x14ac:dyDescent="0.25">
      <c r="A280" s="175">
        <v>46066</v>
      </c>
      <c r="B280" s="170" t="s">
        <v>298</v>
      </c>
      <c r="C280" s="335">
        <v>1900</v>
      </c>
      <c r="D280" s="336"/>
      <c r="E280" s="176">
        <f t="shared" si="4"/>
        <v>632251.75000002247</v>
      </c>
      <c r="F280" s="174"/>
      <c r="G280" s="174"/>
      <c r="H280" s="174"/>
      <c r="I280" s="174"/>
      <c r="J280" s="174"/>
      <c r="K280" s="178"/>
      <c r="L280" s="66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3.5" customHeight="1" x14ac:dyDescent="0.25">
      <c r="A281" s="175">
        <v>46066</v>
      </c>
      <c r="B281" s="170" t="s">
        <v>225</v>
      </c>
      <c r="C281" s="335">
        <v>6</v>
      </c>
      <c r="D281" s="336"/>
      <c r="E281" s="176">
        <f t="shared" si="4"/>
        <v>632245.75000002247</v>
      </c>
      <c r="F281" s="174"/>
      <c r="G281" s="174"/>
      <c r="H281" s="174"/>
      <c r="I281" s="174"/>
      <c r="J281" s="174"/>
      <c r="K281" s="178"/>
      <c r="L281" s="66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3.5" customHeight="1" x14ac:dyDescent="0.25">
      <c r="A282" s="175">
        <v>46066</v>
      </c>
      <c r="B282" s="170" t="s">
        <v>226</v>
      </c>
      <c r="C282" s="335">
        <v>0.96</v>
      </c>
      <c r="D282" s="336"/>
      <c r="E282" s="176">
        <f t="shared" si="4"/>
        <v>632244.79000002251</v>
      </c>
      <c r="F282" s="174"/>
      <c r="G282" s="174"/>
      <c r="H282" s="174"/>
      <c r="I282" s="174"/>
      <c r="J282" s="174"/>
      <c r="K282" s="178"/>
      <c r="L282" s="66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3.5" customHeight="1" x14ac:dyDescent="0.25">
      <c r="A283" s="175">
        <v>46066</v>
      </c>
      <c r="B283" s="170" t="s">
        <v>299</v>
      </c>
      <c r="C283" s="335">
        <v>34680</v>
      </c>
      <c r="D283" s="336"/>
      <c r="E283" s="176">
        <f t="shared" si="4"/>
        <v>597564.79000002251</v>
      </c>
      <c r="F283" s="174"/>
      <c r="G283" s="174"/>
      <c r="H283" s="174"/>
      <c r="I283" s="174"/>
      <c r="J283" s="174"/>
      <c r="K283" s="178"/>
      <c r="L283" s="66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3.5" customHeight="1" x14ac:dyDescent="0.25">
      <c r="A284" s="175">
        <v>46066</v>
      </c>
      <c r="B284" s="170" t="s">
        <v>225</v>
      </c>
      <c r="C284" s="335">
        <v>6</v>
      </c>
      <c r="D284" s="336"/>
      <c r="E284" s="176">
        <f t="shared" si="4"/>
        <v>597558.79000002251</v>
      </c>
      <c r="F284" s="174"/>
      <c r="G284" s="174"/>
      <c r="H284" s="174"/>
      <c r="I284" s="174"/>
      <c r="J284" s="174"/>
      <c r="K284" s="178"/>
      <c r="L284" s="66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3.5" customHeight="1" x14ac:dyDescent="0.25">
      <c r="A285" s="175">
        <v>46066</v>
      </c>
      <c r="B285" s="170" t="s">
        <v>226</v>
      </c>
      <c r="C285" s="335">
        <v>0.96</v>
      </c>
      <c r="D285" s="336"/>
      <c r="E285" s="176">
        <f t="shared" si="4"/>
        <v>597557.83000002254</v>
      </c>
      <c r="F285" s="174"/>
      <c r="G285" s="174"/>
      <c r="H285" s="174"/>
      <c r="I285" s="174"/>
      <c r="J285" s="174"/>
      <c r="K285" s="178"/>
      <c r="L285" s="66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3.5" customHeight="1" x14ac:dyDescent="0.25">
      <c r="A286" s="175">
        <v>46066</v>
      </c>
      <c r="B286" s="170" t="s">
        <v>300</v>
      </c>
      <c r="C286" s="335">
        <v>6300</v>
      </c>
      <c r="D286" s="336"/>
      <c r="E286" s="176">
        <f t="shared" si="4"/>
        <v>591257.83000002254</v>
      </c>
      <c r="F286" s="174"/>
      <c r="G286" s="174"/>
      <c r="H286" s="174"/>
      <c r="I286" s="174"/>
      <c r="J286" s="174"/>
      <c r="K286" s="178"/>
      <c r="L286" s="66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3.5" customHeight="1" x14ac:dyDescent="0.25">
      <c r="A287" s="175">
        <v>46066</v>
      </c>
      <c r="B287" s="170" t="s">
        <v>225</v>
      </c>
      <c r="C287" s="335">
        <v>6</v>
      </c>
      <c r="D287" s="336"/>
      <c r="E287" s="176">
        <f t="shared" si="4"/>
        <v>591251.83000002254</v>
      </c>
      <c r="F287" s="174"/>
      <c r="G287" s="174"/>
      <c r="H287" s="174"/>
      <c r="I287" s="174"/>
      <c r="J287" s="174"/>
      <c r="K287" s="178"/>
      <c r="L287" s="66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3.5" customHeight="1" x14ac:dyDescent="0.25">
      <c r="A288" s="175">
        <v>46066</v>
      </c>
      <c r="B288" s="170" t="s">
        <v>226</v>
      </c>
      <c r="C288" s="335">
        <v>0.96</v>
      </c>
      <c r="D288" s="336"/>
      <c r="E288" s="176">
        <f t="shared" si="4"/>
        <v>591250.87000002258</v>
      </c>
      <c r="F288" s="174"/>
      <c r="G288" s="174"/>
      <c r="H288" s="174"/>
      <c r="I288" s="174"/>
      <c r="J288" s="174"/>
      <c r="K288" s="178"/>
      <c r="L288" s="66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3.5" customHeight="1" x14ac:dyDescent="0.25">
      <c r="A289" s="175">
        <v>46066</v>
      </c>
      <c r="B289" s="170" t="s">
        <v>301</v>
      </c>
      <c r="C289" s="335">
        <v>17110</v>
      </c>
      <c r="D289" s="336"/>
      <c r="E289" s="176">
        <f t="shared" si="4"/>
        <v>574140.87000002258</v>
      </c>
      <c r="F289" s="174"/>
      <c r="G289" s="174"/>
      <c r="H289" s="174"/>
      <c r="I289" s="174"/>
      <c r="J289" s="174"/>
      <c r="K289" s="178"/>
      <c r="L289" s="66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3.5" customHeight="1" x14ac:dyDescent="0.25">
      <c r="A290" s="175">
        <v>46066</v>
      </c>
      <c r="B290" s="170" t="s">
        <v>225</v>
      </c>
      <c r="C290" s="335">
        <v>6</v>
      </c>
      <c r="D290" s="336"/>
      <c r="E290" s="176">
        <f t="shared" si="4"/>
        <v>574134.87000002258</v>
      </c>
      <c r="F290" s="174"/>
      <c r="G290" s="174"/>
      <c r="H290" s="174"/>
      <c r="I290" s="174"/>
      <c r="J290" s="174"/>
      <c r="K290" s="178"/>
      <c r="L290" s="66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3.5" customHeight="1" x14ac:dyDescent="0.25">
      <c r="A291" s="175">
        <v>46066</v>
      </c>
      <c r="B291" s="170" t="s">
        <v>226</v>
      </c>
      <c r="C291" s="335">
        <v>0.96</v>
      </c>
      <c r="D291" s="336"/>
      <c r="E291" s="176">
        <f t="shared" si="4"/>
        <v>574133.91000002262</v>
      </c>
      <c r="F291" s="174"/>
      <c r="G291" s="174"/>
      <c r="H291" s="174"/>
      <c r="I291" s="174"/>
      <c r="J291" s="174"/>
      <c r="K291" s="178"/>
      <c r="L291" s="66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3.5" customHeight="1" x14ac:dyDescent="0.25">
      <c r="A292" s="175">
        <v>46066</v>
      </c>
      <c r="B292" s="170" t="s">
        <v>302</v>
      </c>
      <c r="C292" s="335">
        <v>31750</v>
      </c>
      <c r="D292" s="336"/>
      <c r="E292" s="176">
        <f t="shared" si="4"/>
        <v>542383.91000002262</v>
      </c>
      <c r="F292" s="174"/>
      <c r="G292" s="174"/>
      <c r="H292" s="174"/>
      <c r="I292" s="174"/>
      <c r="J292" s="174"/>
      <c r="K292" s="178"/>
      <c r="L292" s="66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3.5" customHeight="1" x14ac:dyDescent="0.25">
      <c r="A293" s="175">
        <v>46066</v>
      </c>
      <c r="B293" s="170" t="s">
        <v>225</v>
      </c>
      <c r="C293" s="335">
        <v>6</v>
      </c>
      <c r="D293" s="336"/>
      <c r="E293" s="176">
        <f t="shared" si="4"/>
        <v>542377.91000002262</v>
      </c>
      <c r="F293" s="174"/>
      <c r="G293" s="174"/>
      <c r="H293" s="174"/>
      <c r="I293" s="174"/>
      <c r="J293" s="174"/>
      <c r="K293" s="178"/>
      <c r="L293" s="66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3.5" customHeight="1" x14ac:dyDescent="0.25">
      <c r="A294" s="175">
        <v>46066</v>
      </c>
      <c r="B294" s="170" t="s">
        <v>226</v>
      </c>
      <c r="C294" s="335">
        <v>0.96</v>
      </c>
      <c r="D294" s="336"/>
      <c r="E294" s="176">
        <f t="shared" si="4"/>
        <v>542376.95000002265</v>
      </c>
      <c r="F294" s="174"/>
      <c r="G294" s="174"/>
      <c r="H294" s="174"/>
      <c r="I294" s="174"/>
      <c r="J294" s="174"/>
      <c r="K294" s="178"/>
      <c r="L294" s="66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3.5" customHeight="1" x14ac:dyDescent="0.25">
      <c r="A295" s="175">
        <v>46066</v>
      </c>
      <c r="B295" s="170" t="s">
        <v>303</v>
      </c>
      <c r="C295" s="335">
        <v>27672</v>
      </c>
      <c r="D295" s="336"/>
      <c r="E295" s="176">
        <f t="shared" si="4"/>
        <v>514704.95000002265</v>
      </c>
      <c r="F295" s="174"/>
      <c r="G295" s="174"/>
      <c r="H295" s="174"/>
      <c r="I295" s="174"/>
      <c r="J295" s="174"/>
      <c r="K295" s="178"/>
      <c r="L295" s="66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3.5" customHeight="1" x14ac:dyDescent="0.25">
      <c r="A296" s="175">
        <v>46066</v>
      </c>
      <c r="B296" s="170" t="s">
        <v>225</v>
      </c>
      <c r="C296" s="335">
        <v>6</v>
      </c>
      <c r="D296" s="336"/>
      <c r="E296" s="176">
        <f t="shared" si="4"/>
        <v>514698.95000002265</v>
      </c>
      <c r="F296" s="174"/>
      <c r="G296" s="174"/>
      <c r="H296" s="174"/>
      <c r="I296" s="174"/>
      <c r="J296" s="174"/>
      <c r="K296" s="178"/>
      <c r="L296" s="66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3.5" customHeight="1" x14ac:dyDescent="0.25">
      <c r="A297" s="175">
        <v>46066</v>
      </c>
      <c r="B297" s="170" t="s">
        <v>226</v>
      </c>
      <c r="C297" s="335">
        <v>0.96</v>
      </c>
      <c r="D297" s="336"/>
      <c r="E297" s="176">
        <f t="shared" si="4"/>
        <v>514697.99000002263</v>
      </c>
      <c r="F297" s="174"/>
      <c r="G297" s="174"/>
      <c r="H297" s="174"/>
      <c r="I297" s="174"/>
      <c r="J297" s="174"/>
      <c r="K297" s="178"/>
      <c r="L297" s="66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3.5" customHeight="1" x14ac:dyDescent="0.25">
      <c r="A298" s="175">
        <v>46066</v>
      </c>
      <c r="B298" s="170" t="s">
        <v>304</v>
      </c>
      <c r="C298" s="335">
        <v>11674.8</v>
      </c>
      <c r="D298" s="336"/>
      <c r="E298" s="176">
        <f t="shared" si="4"/>
        <v>503023.19000002265</v>
      </c>
      <c r="F298" s="211"/>
      <c r="G298" s="183"/>
      <c r="H298" s="212"/>
      <c r="I298" s="183"/>
      <c r="J298" s="213"/>
      <c r="K298" s="178"/>
      <c r="L298" s="66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3.5" customHeight="1" x14ac:dyDescent="0.25">
      <c r="A299" s="175">
        <v>46066</v>
      </c>
      <c r="B299" s="170" t="s">
        <v>225</v>
      </c>
      <c r="C299" s="335">
        <v>6</v>
      </c>
      <c r="D299" s="336"/>
      <c r="E299" s="176">
        <f t="shared" si="4"/>
        <v>503017.19000002265</v>
      </c>
      <c r="F299" s="174"/>
      <c r="G299" s="174"/>
      <c r="H299" s="174"/>
      <c r="I299" s="174"/>
      <c r="J299" s="174"/>
      <c r="K299" s="178"/>
      <c r="L299" s="66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3.5" customHeight="1" x14ac:dyDescent="0.25">
      <c r="A300" s="175">
        <v>46066</v>
      </c>
      <c r="B300" s="170" t="s">
        <v>226</v>
      </c>
      <c r="C300" s="335">
        <v>0.96</v>
      </c>
      <c r="D300" s="336"/>
      <c r="E300" s="176">
        <f t="shared" si="4"/>
        <v>503016.23000002262</v>
      </c>
      <c r="F300" s="204"/>
      <c r="G300" s="181"/>
      <c r="H300" s="205"/>
      <c r="I300" s="181"/>
      <c r="J300" s="206"/>
      <c r="K300" s="178"/>
      <c r="L300" s="66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3.5" customHeight="1" x14ac:dyDescent="0.25">
      <c r="A301" s="175">
        <v>46066</v>
      </c>
      <c r="B301" s="170" t="s">
        <v>305</v>
      </c>
      <c r="C301" s="335">
        <v>5600</v>
      </c>
      <c r="D301" s="336"/>
      <c r="E301" s="176">
        <f t="shared" si="4"/>
        <v>497416.23000002262</v>
      </c>
      <c r="F301" s="174"/>
      <c r="G301" s="174"/>
      <c r="H301" s="174"/>
      <c r="I301" s="174"/>
      <c r="J301" s="174"/>
      <c r="K301" s="178"/>
      <c r="L301" s="66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3.5" customHeight="1" x14ac:dyDescent="0.25">
      <c r="A302" s="175">
        <v>46066</v>
      </c>
      <c r="B302" s="170" t="s">
        <v>225</v>
      </c>
      <c r="C302" s="335">
        <v>6</v>
      </c>
      <c r="D302" s="336"/>
      <c r="E302" s="176">
        <f t="shared" si="4"/>
        <v>497410.23000002262</v>
      </c>
      <c r="F302" s="174"/>
      <c r="G302" s="174"/>
      <c r="H302" s="174"/>
      <c r="I302" s="174"/>
      <c r="J302" s="174"/>
      <c r="K302" s="178"/>
      <c r="L302" s="66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3.5" customHeight="1" x14ac:dyDescent="0.25">
      <c r="A303" s="175">
        <v>46066</v>
      </c>
      <c r="B303" s="170" t="s">
        <v>226</v>
      </c>
      <c r="C303" s="335">
        <v>0.96</v>
      </c>
      <c r="D303" s="336"/>
      <c r="E303" s="176">
        <f t="shared" si="4"/>
        <v>497409.2700000226</v>
      </c>
      <c r="F303" s="174"/>
      <c r="G303" s="174"/>
      <c r="H303" s="174"/>
      <c r="I303" s="174"/>
      <c r="J303" s="174"/>
      <c r="K303" s="178"/>
      <c r="L303" s="66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3.5" customHeight="1" x14ac:dyDescent="0.25">
      <c r="A304" s="175">
        <v>46066</v>
      </c>
      <c r="B304" s="170" t="s">
        <v>306</v>
      </c>
      <c r="C304" s="335">
        <v>8270</v>
      </c>
      <c r="D304" s="336"/>
      <c r="E304" s="176">
        <f t="shared" si="4"/>
        <v>489139.2700000226</v>
      </c>
      <c r="F304" s="174"/>
      <c r="G304" s="174"/>
      <c r="H304" s="174"/>
      <c r="I304" s="174"/>
      <c r="J304" s="174"/>
      <c r="K304" s="178"/>
      <c r="L304" s="66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3.5" customHeight="1" x14ac:dyDescent="0.25">
      <c r="A305" s="175">
        <v>46066</v>
      </c>
      <c r="B305" s="170" t="s">
        <v>225</v>
      </c>
      <c r="C305" s="335">
        <v>6</v>
      </c>
      <c r="D305" s="336"/>
      <c r="E305" s="176">
        <f t="shared" si="4"/>
        <v>489133.2700000226</v>
      </c>
      <c r="F305" s="174"/>
      <c r="G305" s="174"/>
      <c r="H305" s="174"/>
      <c r="I305" s="174"/>
      <c r="J305" s="174"/>
      <c r="K305" s="178"/>
      <c r="L305" s="66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3.5" customHeight="1" x14ac:dyDescent="0.25">
      <c r="A306" s="175">
        <v>46066</v>
      </c>
      <c r="B306" s="170" t="s">
        <v>226</v>
      </c>
      <c r="C306" s="335">
        <v>0.96</v>
      </c>
      <c r="D306" s="336"/>
      <c r="E306" s="176">
        <f t="shared" si="4"/>
        <v>489132.31000002258</v>
      </c>
      <c r="F306" s="174"/>
      <c r="G306" s="174"/>
      <c r="H306" s="174"/>
      <c r="I306" s="174"/>
      <c r="J306" s="174"/>
      <c r="K306" s="178"/>
      <c r="L306" s="66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3.5" customHeight="1" x14ac:dyDescent="0.25">
      <c r="A307" s="175">
        <v>46066</v>
      </c>
      <c r="B307" s="170" t="s">
        <v>307</v>
      </c>
      <c r="C307" s="335">
        <v>16486</v>
      </c>
      <c r="D307" s="336"/>
      <c r="E307" s="176">
        <f t="shared" si="4"/>
        <v>472646.31000002258</v>
      </c>
      <c r="F307" s="174"/>
      <c r="G307" s="174"/>
      <c r="H307" s="174"/>
      <c r="I307" s="174"/>
      <c r="J307" s="174"/>
      <c r="K307" s="178"/>
      <c r="L307" s="66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3.5" customHeight="1" x14ac:dyDescent="0.25">
      <c r="A308" s="175">
        <v>46066</v>
      </c>
      <c r="B308" s="170" t="s">
        <v>225</v>
      </c>
      <c r="C308" s="335">
        <v>6</v>
      </c>
      <c r="D308" s="336"/>
      <c r="E308" s="176">
        <f t="shared" si="4"/>
        <v>472640.31000002258</v>
      </c>
      <c r="F308" s="174"/>
      <c r="G308" s="174"/>
      <c r="H308" s="174"/>
      <c r="I308" s="174"/>
      <c r="J308" s="174"/>
      <c r="K308" s="178"/>
      <c r="L308" s="66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3.5" customHeight="1" x14ac:dyDescent="0.25">
      <c r="A309" s="175">
        <v>46066</v>
      </c>
      <c r="B309" s="170" t="s">
        <v>226</v>
      </c>
      <c r="C309" s="335">
        <v>0.96</v>
      </c>
      <c r="D309" s="336"/>
      <c r="E309" s="176">
        <f t="shared" si="4"/>
        <v>472639.35000002256</v>
      </c>
      <c r="F309" s="174"/>
      <c r="G309" s="174"/>
      <c r="H309" s="174"/>
      <c r="I309" s="174"/>
      <c r="J309" s="174"/>
      <c r="K309" s="178"/>
      <c r="L309" s="66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3.5" customHeight="1" x14ac:dyDescent="0.25">
      <c r="A310" s="175">
        <v>46066</v>
      </c>
      <c r="B310" s="170" t="s">
        <v>308</v>
      </c>
      <c r="C310" s="335">
        <v>20040</v>
      </c>
      <c r="D310" s="336"/>
      <c r="E310" s="176">
        <f t="shared" si="4"/>
        <v>452599.35000002256</v>
      </c>
      <c r="F310" s="174"/>
      <c r="G310" s="174"/>
      <c r="H310" s="174"/>
      <c r="I310" s="174"/>
      <c r="J310" s="174"/>
      <c r="K310" s="178"/>
      <c r="L310" s="66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3.5" customHeight="1" x14ac:dyDescent="0.25">
      <c r="A311" s="175">
        <v>46066</v>
      </c>
      <c r="B311" s="170" t="s">
        <v>225</v>
      </c>
      <c r="C311" s="335">
        <v>6</v>
      </c>
      <c r="D311" s="336"/>
      <c r="E311" s="176">
        <f t="shared" si="4"/>
        <v>452593.35000002256</v>
      </c>
      <c r="F311" s="174"/>
      <c r="G311" s="174"/>
      <c r="H311" s="174"/>
      <c r="I311" s="174"/>
      <c r="J311" s="174"/>
      <c r="K311" s="178"/>
      <c r="L311" s="66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3.5" customHeight="1" x14ac:dyDescent="0.25">
      <c r="A312" s="175">
        <v>46066</v>
      </c>
      <c r="B312" s="170" t="s">
        <v>226</v>
      </c>
      <c r="C312" s="335">
        <v>0.96</v>
      </c>
      <c r="D312" s="336"/>
      <c r="E312" s="176">
        <f t="shared" si="4"/>
        <v>452592.39000002254</v>
      </c>
      <c r="F312" s="174"/>
      <c r="G312" s="174"/>
      <c r="H312" s="174"/>
      <c r="I312" s="174"/>
      <c r="J312" s="174"/>
      <c r="K312" s="178"/>
      <c r="L312" s="66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3.5" customHeight="1" x14ac:dyDescent="0.25">
      <c r="A313" s="175">
        <v>46066</v>
      </c>
      <c r="B313" s="170" t="s">
        <v>309</v>
      </c>
      <c r="C313" s="335">
        <v>18407</v>
      </c>
      <c r="D313" s="336"/>
      <c r="E313" s="176">
        <f t="shared" si="4"/>
        <v>434185.39000002254</v>
      </c>
      <c r="F313" s="174"/>
      <c r="G313" s="174"/>
      <c r="H313" s="174"/>
      <c r="I313" s="174"/>
      <c r="J313" s="174"/>
      <c r="K313" s="178"/>
      <c r="L313" s="66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3.5" customHeight="1" x14ac:dyDescent="0.25">
      <c r="A314" s="175">
        <v>46066</v>
      </c>
      <c r="B314" s="170" t="s">
        <v>310</v>
      </c>
      <c r="C314" s="335">
        <v>20300</v>
      </c>
      <c r="D314" s="336"/>
      <c r="E314" s="176">
        <f t="shared" si="4"/>
        <v>413885.39000002254</v>
      </c>
      <c r="F314" s="174"/>
      <c r="G314" s="174"/>
      <c r="H314" s="174"/>
      <c r="I314" s="174"/>
      <c r="J314" s="174"/>
      <c r="K314" s="178"/>
      <c r="L314" s="66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3.5" customHeight="1" x14ac:dyDescent="0.25">
      <c r="A315" s="175">
        <v>46066</v>
      </c>
      <c r="B315" s="170" t="s">
        <v>311</v>
      </c>
      <c r="C315" s="335">
        <v>27890</v>
      </c>
      <c r="D315" s="336"/>
      <c r="E315" s="176">
        <f t="shared" si="4"/>
        <v>385995.39000002254</v>
      </c>
      <c r="F315" s="174"/>
      <c r="G315" s="174"/>
      <c r="H315" s="174"/>
      <c r="I315" s="174"/>
      <c r="J315" s="174"/>
      <c r="K315" s="178"/>
      <c r="L315" s="66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3.5" customHeight="1" x14ac:dyDescent="0.25">
      <c r="A316" s="175">
        <v>46066</v>
      </c>
      <c r="B316" s="170" t="s">
        <v>312</v>
      </c>
      <c r="C316" s="335">
        <v>1600</v>
      </c>
      <c r="D316" s="336"/>
      <c r="E316" s="176">
        <f t="shared" si="4"/>
        <v>384395.39000002254</v>
      </c>
      <c r="F316" s="174"/>
      <c r="G316" s="174"/>
      <c r="H316" s="174"/>
      <c r="I316" s="174"/>
      <c r="J316" s="174"/>
      <c r="K316" s="178"/>
      <c r="L316" s="66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3.5" customHeight="1" x14ac:dyDescent="0.25">
      <c r="A317" s="175">
        <v>46066</v>
      </c>
      <c r="B317" s="170" t="s">
        <v>313</v>
      </c>
      <c r="C317" s="335">
        <v>9993.9699999999993</v>
      </c>
      <c r="D317" s="336"/>
      <c r="E317" s="176">
        <f t="shared" si="4"/>
        <v>374401.42000002257</v>
      </c>
      <c r="F317" s="173"/>
      <c r="G317" s="174"/>
      <c r="H317" s="177"/>
      <c r="I317" s="197"/>
      <c r="J317" s="174"/>
      <c r="K317" s="178"/>
      <c r="L317" s="66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3.5" customHeight="1" x14ac:dyDescent="0.25">
      <c r="A318" s="175">
        <v>46066</v>
      </c>
      <c r="B318" s="170" t="s">
        <v>314</v>
      </c>
      <c r="C318" s="335">
        <v>14522</v>
      </c>
      <c r="D318" s="336"/>
      <c r="E318" s="176">
        <f t="shared" si="4"/>
        <v>359879.42000002257</v>
      </c>
      <c r="F318" s="174"/>
      <c r="G318" s="174"/>
      <c r="H318" s="174"/>
      <c r="I318" s="174"/>
      <c r="J318" s="174"/>
      <c r="K318" s="178"/>
      <c r="L318" s="66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3.5" customHeight="1" x14ac:dyDescent="0.25">
      <c r="A319" s="175">
        <v>46066</v>
      </c>
      <c r="B319" s="170" t="s">
        <v>315</v>
      </c>
      <c r="C319" s="335">
        <v>6800</v>
      </c>
      <c r="D319" s="336"/>
      <c r="E319" s="176">
        <f t="shared" si="4"/>
        <v>353079.42000002257</v>
      </c>
      <c r="F319" s="174"/>
      <c r="G319" s="174"/>
      <c r="H319" s="174"/>
      <c r="I319" s="174"/>
      <c r="J319" s="174"/>
      <c r="K319" s="178"/>
      <c r="L319" s="66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3.5" customHeight="1" x14ac:dyDescent="0.25">
      <c r="A320" s="175">
        <v>46066</v>
      </c>
      <c r="B320" s="170" t="s">
        <v>316</v>
      </c>
      <c r="C320" s="335">
        <v>12577</v>
      </c>
      <c r="D320" s="336"/>
      <c r="E320" s="176">
        <f t="shared" si="4"/>
        <v>340502.42000002257</v>
      </c>
      <c r="F320" s="211"/>
      <c r="G320" s="183"/>
      <c r="H320" s="212"/>
      <c r="I320" s="183"/>
      <c r="J320" s="213"/>
      <c r="K320" s="178"/>
      <c r="L320" s="66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3.5" customHeight="1" x14ac:dyDescent="0.25">
      <c r="A321" s="175">
        <v>46066</v>
      </c>
      <c r="B321" s="170" t="s">
        <v>317</v>
      </c>
      <c r="C321" s="335">
        <v>2680</v>
      </c>
      <c r="D321" s="336"/>
      <c r="E321" s="176">
        <f t="shared" si="4"/>
        <v>337822.42000002257</v>
      </c>
      <c r="F321" s="174"/>
      <c r="G321" s="174"/>
      <c r="H321" s="174"/>
      <c r="I321" s="174"/>
      <c r="J321" s="174"/>
      <c r="K321" s="178"/>
      <c r="L321" s="66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3.5" customHeight="1" x14ac:dyDescent="0.25">
      <c r="A322" s="175">
        <v>46066</v>
      </c>
      <c r="B322" s="170" t="s">
        <v>318</v>
      </c>
      <c r="C322" s="336"/>
      <c r="D322" s="335">
        <v>266685</v>
      </c>
      <c r="E322" s="176">
        <f t="shared" si="4"/>
        <v>604507.42000002251</v>
      </c>
      <c r="F322" s="173"/>
      <c r="G322" s="174"/>
      <c r="H322" s="177"/>
      <c r="I322" s="197"/>
      <c r="J322" s="174"/>
      <c r="K322" s="178"/>
      <c r="L322" s="66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3.5" customHeight="1" x14ac:dyDescent="0.25">
      <c r="A323" s="175">
        <v>46066</v>
      </c>
      <c r="B323" s="170" t="s">
        <v>319</v>
      </c>
      <c r="C323" s="335">
        <v>30000</v>
      </c>
      <c r="D323" s="336"/>
      <c r="E323" s="176">
        <f t="shared" si="4"/>
        <v>574507.42000002251</v>
      </c>
      <c r="F323" s="174"/>
      <c r="G323" s="174"/>
      <c r="H323" s="174"/>
      <c r="I323" s="174"/>
      <c r="J323" s="174"/>
      <c r="K323" s="178"/>
      <c r="L323" s="66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3.5" customHeight="1" x14ac:dyDescent="0.25">
      <c r="A324" s="175">
        <v>46066</v>
      </c>
      <c r="B324" s="170" t="s">
        <v>225</v>
      </c>
      <c r="C324" s="335">
        <v>6</v>
      </c>
      <c r="D324" s="336"/>
      <c r="E324" s="176">
        <f t="shared" si="4"/>
        <v>574501.42000002251</v>
      </c>
      <c r="F324" s="174"/>
      <c r="G324" s="174"/>
      <c r="H324" s="174"/>
      <c r="I324" s="174"/>
      <c r="J324" s="174"/>
      <c r="K324" s="178"/>
      <c r="L324" s="66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3.5" customHeight="1" x14ac:dyDescent="0.25">
      <c r="A325" s="175">
        <v>46066</v>
      </c>
      <c r="B325" s="170" t="s">
        <v>226</v>
      </c>
      <c r="C325" s="335">
        <v>0.96</v>
      </c>
      <c r="D325" s="336"/>
      <c r="E325" s="176">
        <f t="shared" si="4"/>
        <v>574500.46000002255</v>
      </c>
      <c r="F325" s="174"/>
      <c r="G325" s="174"/>
      <c r="H325" s="174"/>
      <c r="I325" s="174"/>
      <c r="J325" s="174"/>
      <c r="K325" s="178"/>
      <c r="L325" s="66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3.5" customHeight="1" x14ac:dyDescent="0.25">
      <c r="A326" s="175">
        <v>46066</v>
      </c>
      <c r="B326" s="170" t="s">
        <v>320</v>
      </c>
      <c r="C326" s="335">
        <v>3562.2</v>
      </c>
      <c r="D326" s="336"/>
      <c r="E326" s="176">
        <f t="shared" si="4"/>
        <v>570938.26000002259</v>
      </c>
      <c r="F326" s="174"/>
      <c r="G326" s="174"/>
      <c r="H326" s="174"/>
      <c r="I326" s="174"/>
      <c r="J326" s="174"/>
      <c r="K326" s="178"/>
      <c r="L326" s="66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3.5" customHeight="1" x14ac:dyDescent="0.25">
      <c r="A327" s="175">
        <v>46066</v>
      </c>
      <c r="B327" s="170" t="s">
        <v>321</v>
      </c>
      <c r="C327" s="335">
        <v>25567.8</v>
      </c>
      <c r="D327" s="336"/>
      <c r="E327" s="176">
        <f t="shared" si="4"/>
        <v>545370.46000002255</v>
      </c>
      <c r="F327" s="174"/>
      <c r="G327" s="174"/>
      <c r="H327" s="174"/>
      <c r="I327" s="174"/>
      <c r="J327" s="174"/>
      <c r="K327" s="178"/>
      <c r="L327" s="66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3.5" customHeight="1" x14ac:dyDescent="0.25">
      <c r="A328" s="175">
        <v>46066</v>
      </c>
      <c r="B328" s="170" t="s">
        <v>159</v>
      </c>
      <c r="C328" s="336"/>
      <c r="D328" s="335">
        <v>1300000</v>
      </c>
      <c r="E328" s="176">
        <f t="shared" ref="E328:E391" si="5">E327-C328+D328</f>
        <v>1845370.4600000225</v>
      </c>
      <c r="F328" s="204"/>
      <c r="G328" s="181"/>
      <c r="H328" s="205"/>
      <c r="I328" s="181"/>
      <c r="J328" s="206"/>
      <c r="K328" s="178"/>
      <c r="L328" s="66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3.5" customHeight="1" x14ac:dyDescent="0.25">
      <c r="A329" s="175">
        <v>46066</v>
      </c>
      <c r="B329" s="170" t="s">
        <v>322</v>
      </c>
      <c r="C329" s="335">
        <v>146250</v>
      </c>
      <c r="D329" s="336"/>
      <c r="E329" s="176">
        <f t="shared" si="5"/>
        <v>1699120.4600000225</v>
      </c>
      <c r="F329" s="204"/>
      <c r="G329" s="181"/>
      <c r="H329" s="205"/>
      <c r="I329" s="181"/>
      <c r="J329" s="206"/>
      <c r="K329" s="178"/>
      <c r="L329" s="66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3.5" customHeight="1" x14ac:dyDescent="0.25">
      <c r="A330" s="175">
        <v>46066</v>
      </c>
      <c r="B330" s="170" t="s">
        <v>323</v>
      </c>
      <c r="C330" s="335">
        <v>4560</v>
      </c>
      <c r="D330" s="336"/>
      <c r="E330" s="176">
        <f t="shared" si="5"/>
        <v>1694560.4600000225</v>
      </c>
      <c r="F330" s="174"/>
      <c r="G330" s="174"/>
      <c r="H330" s="174"/>
      <c r="I330" s="174"/>
      <c r="J330" s="174"/>
      <c r="K330" s="178"/>
      <c r="L330" s="66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3.5" customHeight="1" x14ac:dyDescent="0.25">
      <c r="A331" s="175">
        <v>46066</v>
      </c>
      <c r="B331" s="170" t="s">
        <v>324</v>
      </c>
      <c r="C331" s="335">
        <v>710</v>
      </c>
      <c r="D331" s="336"/>
      <c r="E331" s="176">
        <f t="shared" si="5"/>
        <v>1693850.4600000225</v>
      </c>
      <c r="F331" s="174"/>
      <c r="G331" s="174"/>
      <c r="H331" s="174"/>
      <c r="I331" s="174"/>
      <c r="J331" s="174"/>
      <c r="K331" s="178"/>
      <c r="L331" s="66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3.5" customHeight="1" x14ac:dyDescent="0.25">
      <c r="A332" s="175">
        <v>46066</v>
      </c>
      <c r="B332" s="170" t="s">
        <v>325</v>
      </c>
      <c r="C332" s="335">
        <v>48336</v>
      </c>
      <c r="D332" s="336"/>
      <c r="E332" s="176">
        <f t="shared" si="5"/>
        <v>1645514.4600000225</v>
      </c>
      <c r="F332" s="174"/>
      <c r="G332" s="174"/>
      <c r="H332" s="174"/>
      <c r="I332" s="174"/>
      <c r="J332" s="174"/>
      <c r="K332" s="178"/>
      <c r="L332" s="66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3.5" customHeight="1" x14ac:dyDescent="0.25">
      <c r="A333" s="175">
        <v>46066</v>
      </c>
      <c r="B333" s="170" t="s">
        <v>326</v>
      </c>
      <c r="C333" s="335">
        <v>14716.92</v>
      </c>
      <c r="D333" s="336"/>
      <c r="E333" s="176">
        <f t="shared" si="5"/>
        <v>1630797.5400000226</v>
      </c>
      <c r="F333" s="173"/>
      <c r="G333" s="174"/>
      <c r="H333" s="177"/>
      <c r="I333" s="197"/>
      <c r="J333" s="174"/>
      <c r="K333" s="178"/>
      <c r="L333" s="66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3.5" customHeight="1" x14ac:dyDescent="0.25">
      <c r="A334" s="175">
        <v>46066</v>
      </c>
      <c r="B334" s="170" t="s">
        <v>327</v>
      </c>
      <c r="C334" s="335">
        <v>335924.58</v>
      </c>
      <c r="D334" s="336"/>
      <c r="E334" s="176">
        <f t="shared" si="5"/>
        <v>1294872.9600000225</v>
      </c>
      <c r="F334" s="174"/>
      <c r="G334" s="174"/>
      <c r="H334" s="174"/>
      <c r="I334" s="174"/>
      <c r="J334" s="174"/>
      <c r="K334" s="178"/>
      <c r="L334" s="66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3.5" customHeight="1" x14ac:dyDescent="0.25">
      <c r="A335" s="175">
        <v>46066</v>
      </c>
      <c r="B335" s="170" t="s">
        <v>328</v>
      </c>
      <c r="C335" s="335">
        <v>136788</v>
      </c>
      <c r="D335" s="336"/>
      <c r="E335" s="176">
        <f t="shared" si="5"/>
        <v>1158084.9600000225</v>
      </c>
      <c r="F335" s="207"/>
      <c r="G335" s="181"/>
      <c r="H335" s="205"/>
      <c r="I335" s="181"/>
      <c r="J335" s="209"/>
      <c r="K335" s="178"/>
      <c r="L335" s="66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3.5" customHeight="1" x14ac:dyDescent="0.25">
      <c r="A336" s="175">
        <v>46066</v>
      </c>
      <c r="B336" s="170" t="s">
        <v>329</v>
      </c>
      <c r="C336" s="335">
        <v>72997.759999999995</v>
      </c>
      <c r="D336" s="336"/>
      <c r="E336" s="176">
        <f t="shared" si="5"/>
        <v>1085087.2000000225</v>
      </c>
      <c r="F336" s="173"/>
      <c r="G336" s="174"/>
      <c r="H336" s="177"/>
      <c r="I336" s="197"/>
      <c r="J336" s="174"/>
      <c r="K336" s="178"/>
      <c r="L336" s="66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3.5" customHeight="1" x14ac:dyDescent="0.25">
      <c r="A337" s="175">
        <v>46066</v>
      </c>
      <c r="B337" s="170" t="s">
        <v>330</v>
      </c>
      <c r="C337" s="335">
        <v>29945.8</v>
      </c>
      <c r="D337" s="336"/>
      <c r="E337" s="176">
        <f t="shared" si="5"/>
        <v>1055141.4000000225</v>
      </c>
      <c r="F337" s="197"/>
      <c r="G337" s="174"/>
      <c r="H337" s="174"/>
      <c r="I337" s="174"/>
      <c r="J337" s="174"/>
      <c r="K337" s="178"/>
      <c r="L337" s="66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3.5" customHeight="1" x14ac:dyDescent="0.25">
      <c r="A338" s="175">
        <v>46066</v>
      </c>
      <c r="B338" s="170" t="s">
        <v>331</v>
      </c>
      <c r="C338" s="335">
        <v>60638</v>
      </c>
      <c r="D338" s="336"/>
      <c r="E338" s="176">
        <f t="shared" si="5"/>
        <v>994503.40000002249</v>
      </c>
      <c r="F338" s="174"/>
      <c r="G338" s="174"/>
      <c r="H338" s="174"/>
      <c r="I338" s="174"/>
      <c r="J338" s="174"/>
      <c r="K338" s="178"/>
      <c r="L338" s="66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3.5" customHeight="1" x14ac:dyDescent="0.25">
      <c r="A339" s="175">
        <v>46066</v>
      </c>
      <c r="B339" s="170" t="s">
        <v>332</v>
      </c>
      <c r="C339" s="335">
        <v>6840</v>
      </c>
      <c r="D339" s="336"/>
      <c r="E339" s="176">
        <f t="shared" si="5"/>
        <v>987663.40000002249</v>
      </c>
      <c r="F339" s="173"/>
      <c r="G339" s="199"/>
      <c r="H339" s="203"/>
      <c r="I339" s="197"/>
      <c r="J339" s="174"/>
      <c r="K339" s="178"/>
      <c r="L339" s="66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3.5" customHeight="1" x14ac:dyDescent="0.25">
      <c r="A340" s="175">
        <v>46066</v>
      </c>
      <c r="B340" s="170" t="s">
        <v>225</v>
      </c>
      <c r="C340" s="335">
        <v>6</v>
      </c>
      <c r="D340" s="336"/>
      <c r="E340" s="176">
        <f t="shared" si="5"/>
        <v>987657.40000002249</v>
      </c>
      <c r="F340" s="173"/>
      <c r="G340" s="199"/>
      <c r="H340" s="192"/>
      <c r="I340" s="197"/>
      <c r="J340" s="174"/>
      <c r="K340" s="178"/>
      <c r="L340" s="66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3.5" customHeight="1" x14ac:dyDescent="0.25">
      <c r="A341" s="175">
        <v>46066</v>
      </c>
      <c r="B341" s="170" t="s">
        <v>226</v>
      </c>
      <c r="C341" s="335">
        <v>0.96</v>
      </c>
      <c r="D341" s="336"/>
      <c r="E341" s="176">
        <f t="shared" si="5"/>
        <v>987656.44000002253</v>
      </c>
      <c r="F341" s="173"/>
      <c r="G341" s="199"/>
      <c r="H341" s="192"/>
      <c r="I341" s="197"/>
      <c r="J341" s="174"/>
      <c r="K341" s="178"/>
      <c r="L341" s="66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3.5" customHeight="1" x14ac:dyDescent="0.25">
      <c r="A342" s="175">
        <v>46066</v>
      </c>
      <c r="B342" s="170" t="s">
        <v>333</v>
      </c>
      <c r="C342" s="335">
        <v>141790.6</v>
      </c>
      <c r="D342" s="336"/>
      <c r="E342" s="176">
        <f t="shared" si="5"/>
        <v>845865.84000002255</v>
      </c>
      <c r="F342" s="179"/>
      <c r="G342" s="179"/>
      <c r="H342" s="179"/>
      <c r="I342" s="179"/>
      <c r="J342" s="179"/>
      <c r="K342" s="178"/>
      <c r="L342" s="66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3.5" customHeight="1" x14ac:dyDescent="0.25">
      <c r="A343" s="175">
        <v>46066</v>
      </c>
      <c r="B343" s="170" t="s">
        <v>225</v>
      </c>
      <c r="C343" s="335">
        <v>6</v>
      </c>
      <c r="D343" s="336"/>
      <c r="E343" s="176">
        <f t="shared" si="5"/>
        <v>845859.84000002255</v>
      </c>
      <c r="F343" s="174"/>
      <c r="G343" s="174"/>
      <c r="H343" s="174"/>
      <c r="I343" s="174"/>
      <c r="J343" s="174"/>
      <c r="K343" s="178"/>
      <c r="L343" s="66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3.5" customHeight="1" x14ac:dyDescent="0.25">
      <c r="A344" s="175">
        <v>46066</v>
      </c>
      <c r="B344" s="170" t="s">
        <v>226</v>
      </c>
      <c r="C344" s="335">
        <v>0.96</v>
      </c>
      <c r="D344" s="336"/>
      <c r="E344" s="176">
        <f t="shared" si="5"/>
        <v>845858.88000002259</v>
      </c>
      <c r="F344" s="211"/>
      <c r="G344" s="183"/>
      <c r="H344" s="212"/>
      <c r="I344" s="183"/>
      <c r="J344" s="213"/>
      <c r="K344" s="178"/>
      <c r="L344" s="66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3.5" customHeight="1" x14ac:dyDescent="0.25">
      <c r="A345" s="175">
        <v>46066</v>
      </c>
      <c r="B345" s="170" t="s">
        <v>334</v>
      </c>
      <c r="C345" s="335">
        <v>192723.9</v>
      </c>
      <c r="D345" s="336"/>
      <c r="E345" s="176">
        <f t="shared" si="5"/>
        <v>653134.98000002257</v>
      </c>
      <c r="F345" s="173"/>
      <c r="G345" s="174"/>
      <c r="H345" s="177"/>
      <c r="I345" s="197"/>
      <c r="J345" s="174"/>
      <c r="K345" s="178"/>
      <c r="L345" s="66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3.5" customHeight="1" x14ac:dyDescent="0.25">
      <c r="A346" s="175">
        <v>46066</v>
      </c>
      <c r="B346" s="170" t="s">
        <v>225</v>
      </c>
      <c r="C346" s="335">
        <v>6</v>
      </c>
      <c r="D346" s="336"/>
      <c r="E346" s="176">
        <f t="shared" si="5"/>
        <v>653128.98000002257</v>
      </c>
      <c r="F346" s="174"/>
      <c r="G346" s="174"/>
      <c r="H346" s="174"/>
      <c r="I346" s="174"/>
      <c r="J346" s="174"/>
      <c r="K346" s="178"/>
      <c r="L346" s="66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3.5" customHeight="1" x14ac:dyDescent="0.25">
      <c r="A347" s="175">
        <v>46066</v>
      </c>
      <c r="B347" s="170" t="s">
        <v>226</v>
      </c>
      <c r="C347" s="335">
        <v>0.96</v>
      </c>
      <c r="D347" s="336"/>
      <c r="E347" s="176">
        <f t="shared" si="5"/>
        <v>653128.0200000226</v>
      </c>
      <c r="F347" s="174"/>
      <c r="G347" s="174"/>
      <c r="H347" s="174"/>
      <c r="I347" s="174"/>
      <c r="J347" s="174"/>
      <c r="K347" s="178"/>
      <c r="L347" s="66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3.5" customHeight="1" x14ac:dyDescent="0.25">
      <c r="A348" s="175">
        <v>46066</v>
      </c>
      <c r="B348" s="170" t="s">
        <v>335</v>
      </c>
      <c r="C348" s="335">
        <v>5554.7</v>
      </c>
      <c r="D348" s="336"/>
      <c r="E348" s="176">
        <f t="shared" si="5"/>
        <v>647573.32000002265</v>
      </c>
      <c r="F348" s="207"/>
      <c r="G348" s="181"/>
      <c r="H348" s="205"/>
      <c r="I348" s="181"/>
      <c r="J348" s="209"/>
      <c r="K348" s="178"/>
      <c r="L348" s="66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3.5" customHeight="1" x14ac:dyDescent="0.25">
      <c r="A349" s="175">
        <v>46066</v>
      </c>
      <c r="B349" s="170" t="s">
        <v>225</v>
      </c>
      <c r="C349" s="335">
        <v>6</v>
      </c>
      <c r="D349" s="336"/>
      <c r="E349" s="176">
        <f t="shared" si="5"/>
        <v>647567.32000002265</v>
      </c>
      <c r="F349" s="174"/>
      <c r="G349" s="174"/>
      <c r="H349" s="174"/>
      <c r="I349" s="174"/>
      <c r="J349" s="174"/>
      <c r="K349" s="178"/>
      <c r="L349" s="66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3.5" customHeight="1" x14ac:dyDescent="0.25">
      <c r="A350" s="175">
        <v>46066</v>
      </c>
      <c r="B350" s="170" t="s">
        <v>226</v>
      </c>
      <c r="C350" s="335">
        <v>0.96</v>
      </c>
      <c r="D350" s="336"/>
      <c r="E350" s="176">
        <f t="shared" si="5"/>
        <v>647566.36000002269</v>
      </c>
      <c r="F350" s="173"/>
      <c r="G350" s="199"/>
      <c r="H350" s="203"/>
      <c r="I350" s="214"/>
      <c r="J350" s="178"/>
      <c r="K350" s="197"/>
      <c r="L350" s="66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3.5" customHeight="1" x14ac:dyDescent="0.25">
      <c r="A351" s="175">
        <v>46066</v>
      </c>
      <c r="B351" s="170" t="s">
        <v>336</v>
      </c>
      <c r="C351" s="335">
        <v>2000</v>
      </c>
      <c r="D351" s="336"/>
      <c r="E351" s="176">
        <f t="shared" si="5"/>
        <v>645566.36000002269</v>
      </c>
      <c r="F351" s="174"/>
      <c r="G351" s="174"/>
      <c r="H351" s="174"/>
      <c r="I351" s="174"/>
      <c r="J351" s="174"/>
      <c r="K351" s="178"/>
      <c r="L351" s="66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3.5" customHeight="1" x14ac:dyDescent="0.25">
      <c r="A352" s="175">
        <v>46066</v>
      </c>
      <c r="B352" s="170" t="s">
        <v>225</v>
      </c>
      <c r="C352" s="335">
        <v>6</v>
      </c>
      <c r="D352" s="336"/>
      <c r="E352" s="176">
        <f t="shared" si="5"/>
        <v>645560.36000002269</v>
      </c>
      <c r="F352" s="174"/>
      <c r="G352" s="174"/>
      <c r="H352" s="174"/>
      <c r="I352" s="174"/>
      <c r="J352" s="174"/>
      <c r="K352" s="178"/>
      <c r="L352" s="66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3.5" customHeight="1" x14ac:dyDescent="0.25">
      <c r="A353" s="175">
        <v>46066</v>
      </c>
      <c r="B353" s="170" t="s">
        <v>226</v>
      </c>
      <c r="C353" s="335">
        <v>0.96</v>
      </c>
      <c r="D353" s="336"/>
      <c r="E353" s="176">
        <f t="shared" si="5"/>
        <v>645559.40000002272</v>
      </c>
      <c r="F353" s="174"/>
      <c r="G353" s="174"/>
      <c r="H353" s="174"/>
      <c r="I353" s="174"/>
      <c r="J353" s="174"/>
      <c r="K353" s="178"/>
      <c r="L353" s="66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3.5" customHeight="1" x14ac:dyDescent="0.25">
      <c r="A354" s="175">
        <v>46066</v>
      </c>
      <c r="B354" s="170" t="s">
        <v>337</v>
      </c>
      <c r="C354" s="335">
        <v>5107.75</v>
      </c>
      <c r="D354" s="336"/>
      <c r="E354" s="176">
        <f t="shared" si="5"/>
        <v>640451.65000002272</v>
      </c>
      <c r="F354" s="174"/>
      <c r="G354" s="174"/>
      <c r="H354" s="174"/>
      <c r="I354" s="174"/>
      <c r="J354" s="174"/>
      <c r="K354" s="178"/>
      <c r="L354" s="66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3.5" customHeight="1" x14ac:dyDescent="0.25">
      <c r="A355" s="175">
        <v>46066</v>
      </c>
      <c r="B355" s="170" t="s">
        <v>225</v>
      </c>
      <c r="C355" s="335">
        <v>6</v>
      </c>
      <c r="D355" s="336"/>
      <c r="E355" s="176">
        <f t="shared" si="5"/>
        <v>640445.65000002272</v>
      </c>
      <c r="F355" s="174"/>
      <c r="G355" s="174"/>
      <c r="H355" s="174"/>
      <c r="I355" s="174"/>
      <c r="J355" s="174"/>
      <c r="K355" s="178"/>
      <c r="L355" s="66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3.5" customHeight="1" x14ac:dyDescent="0.25">
      <c r="A356" s="175">
        <v>46066</v>
      </c>
      <c r="B356" s="170" t="s">
        <v>226</v>
      </c>
      <c r="C356" s="335">
        <v>0.96</v>
      </c>
      <c r="D356" s="336"/>
      <c r="E356" s="176">
        <f t="shared" si="5"/>
        <v>640444.69000002276</v>
      </c>
      <c r="F356" s="174"/>
      <c r="G356" s="174"/>
      <c r="H356" s="174"/>
      <c r="I356" s="174"/>
      <c r="J356" s="174"/>
      <c r="K356" s="178"/>
      <c r="L356" s="66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3.5" customHeight="1" x14ac:dyDescent="0.25">
      <c r="A357" s="175">
        <v>46066</v>
      </c>
      <c r="B357" s="170" t="s">
        <v>338</v>
      </c>
      <c r="C357" s="335">
        <v>3180</v>
      </c>
      <c r="D357" s="336"/>
      <c r="E357" s="176">
        <f t="shared" si="5"/>
        <v>637264.69000002276</v>
      </c>
      <c r="F357" s="174"/>
      <c r="G357" s="174"/>
      <c r="H357" s="174"/>
      <c r="I357" s="174"/>
      <c r="J357" s="174"/>
      <c r="K357" s="178"/>
      <c r="L357" s="66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3.5" customHeight="1" x14ac:dyDescent="0.25">
      <c r="A358" s="175">
        <v>46066</v>
      </c>
      <c r="B358" s="170" t="s">
        <v>225</v>
      </c>
      <c r="C358" s="335">
        <v>6</v>
      </c>
      <c r="D358" s="336"/>
      <c r="E358" s="176">
        <f t="shared" si="5"/>
        <v>637258.69000002276</v>
      </c>
      <c r="F358" s="174"/>
      <c r="G358" s="174"/>
      <c r="H358" s="174"/>
      <c r="I358" s="174"/>
      <c r="J358" s="174"/>
      <c r="K358" s="178"/>
      <c r="L358" s="66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3.5" customHeight="1" x14ac:dyDescent="0.25">
      <c r="A359" s="175">
        <v>46066</v>
      </c>
      <c r="B359" s="170" t="s">
        <v>226</v>
      </c>
      <c r="C359" s="335">
        <v>0.96</v>
      </c>
      <c r="D359" s="336"/>
      <c r="E359" s="176">
        <f t="shared" si="5"/>
        <v>637257.7300000228</v>
      </c>
      <c r="F359" s="174"/>
      <c r="G359" s="174"/>
      <c r="H359" s="174"/>
      <c r="I359" s="174"/>
      <c r="J359" s="174"/>
      <c r="K359" s="178"/>
      <c r="L359" s="66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3.5" customHeight="1" x14ac:dyDescent="0.25">
      <c r="A360" s="175">
        <v>46066</v>
      </c>
      <c r="B360" s="170" t="s">
        <v>339</v>
      </c>
      <c r="C360" s="335">
        <v>9055</v>
      </c>
      <c r="D360" s="336"/>
      <c r="E360" s="176">
        <f t="shared" si="5"/>
        <v>628202.7300000228</v>
      </c>
      <c r="F360" s="204"/>
      <c r="G360" s="181"/>
      <c r="H360" s="205"/>
      <c r="I360" s="181"/>
      <c r="J360" s="206"/>
      <c r="K360" s="178"/>
      <c r="L360" s="66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3.5" customHeight="1" x14ac:dyDescent="0.25">
      <c r="A361" s="175">
        <v>46066</v>
      </c>
      <c r="B361" s="170" t="s">
        <v>225</v>
      </c>
      <c r="C361" s="335">
        <v>6</v>
      </c>
      <c r="D361" s="336"/>
      <c r="E361" s="176">
        <f t="shared" si="5"/>
        <v>628196.7300000228</v>
      </c>
      <c r="F361" s="174"/>
      <c r="G361" s="174"/>
      <c r="H361" s="174"/>
      <c r="I361" s="174"/>
      <c r="J361" s="174"/>
      <c r="K361" s="178"/>
      <c r="L361" s="66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3.5" customHeight="1" x14ac:dyDescent="0.25">
      <c r="A362" s="175">
        <v>46066</v>
      </c>
      <c r="B362" s="170" t="s">
        <v>226</v>
      </c>
      <c r="C362" s="335">
        <v>0.96</v>
      </c>
      <c r="D362" s="336"/>
      <c r="E362" s="176">
        <f t="shared" si="5"/>
        <v>628195.77000002284</v>
      </c>
      <c r="F362" s="174"/>
      <c r="G362" s="174"/>
      <c r="H362" s="174"/>
      <c r="I362" s="174"/>
      <c r="J362" s="174"/>
      <c r="K362" s="178"/>
      <c r="L362" s="66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3.5" customHeight="1" x14ac:dyDescent="0.25">
      <c r="A363" s="175">
        <v>46066</v>
      </c>
      <c r="B363" s="170" t="s">
        <v>340</v>
      </c>
      <c r="C363" s="335">
        <v>3944</v>
      </c>
      <c r="D363" s="336"/>
      <c r="E363" s="176">
        <f t="shared" si="5"/>
        <v>624251.77000002284</v>
      </c>
      <c r="F363" s="174"/>
      <c r="G363" s="174"/>
      <c r="H363" s="174"/>
      <c r="I363" s="174"/>
      <c r="J363" s="174"/>
      <c r="K363" s="178"/>
      <c r="L363" s="66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3.5" customHeight="1" x14ac:dyDescent="0.25">
      <c r="A364" s="175">
        <v>46066</v>
      </c>
      <c r="B364" s="170" t="s">
        <v>225</v>
      </c>
      <c r="C364" s="335">
        <v>6</v>
      </c>
      <c r="D364" s="336"/>
      <c r="E364" s="176">
        <f t="shared" si="5"/>
        <v>624245.77000002284</v>
      </c>
      <c r="F364" s="174"/>
      <c r="G364" s="174"/>
      <c r="H364" s="174"/>
      <c r="I364" s="174"/>
      <c r="J364" s="174"/>
      <c r="K364" s="178"/>
      <c r="L364" s="66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3.5" customHeight="1" x14ac:dyDescent="0.25">
      <c r="A365" s="175">
        <v>46066</v>
      </c>
      <c r="B365" s="170" t="s">
        <v>226</v>
      </c>
      <c r="C365" s="335">
        <v>0.96</v>
      </c>
      <c r="D365" s="336"/>
      <c r="E365" s="176">
        <f t="shared" si="5"/>
        <v>624244.81000002287</v>
      </c>
      <c r="F365" s="173"/>
      <c r="G365" s="174"/>
      <c r="H365" s="177"/>
      <c r="I365" s="197"/>
      <c r="J365" s="174"/>
      <c r="K365" s="178"/>
      <c r="L365" s="66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3.5" customHeight="1" x14ac:dyDescent="0.25">
      <c r="A366" s="175">
        <v>46066</v>
      </c>
      <c r="B366" s="170" t="s">
        <v>341</v>
      </c>
      <c r="C366" s="335">
        <v>1440</v>
      </c>
      <c r="D366" s="336"/>
      <c r="E366" s="176">
        <f t="shared" si="5"/>
        <v>622804.81000002287</v>
      </c>
      <c r="F366" s="173"/>
      <c r="G366" s="174"/>
      <c r="H366" s="177"/>
      <c r="I366" s="197"/>
      <c r="J366" s="174"/>
      <c r="K366" s="178"/>
      <c r="L366" s="66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3.5" customHeight="1" x14ac:dyDescent="0.25">
      <c r="A367" s="175">
        <v>46066</v>
      </c>
      <c r="B367" s="170" t="s">
        <v>225</v>
      </c>
      <c r="C367" s="335">
        <v>6</v>
      </c>
      <c r="D367" s="336"/>
      <c r="E367" s="176">
        <f t="shared" si="5"/>
        <v>622798.81000002287</v>
      </c>
      <c r="F367" s="174"/>
      <c r="G367" s="174"/>
      <c r="H367" s="174"/>
      <c r="I367" s="174"/>
      <c r="J367" s="174"/>
      <c r="K367" s="178"/>
      <c r="L367" s="66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3.5" customHeight="1" x14ac:dyDescent="0.25">
      <c r="A368" s="175">
        <v>46066</v>
      </c>
      <c r="B368" s="170" t="s">
        <v>226</v>
      </c>
      <c r="C368" s="335">
        <v>0.96</v>
      </c>
      <c r="D368" s="336"/>
      <c r="E368" s="176">
        <f t="shared" si="5"/>
        <v>622797.85000002291</v>
      </c>
      <c r="F368" s="174"/>
      <c r="G368" s="174"/>
      <c r="H368" s="174"/>
      <c r="I368" s="174"/>
      <c r="J368" s="174"/>
      <c r="K368" s="178"/>
      <c r="L368" s="66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3.5" customHeight="1" x14ac:dyDescent="0.25">
      <c r="A369" s="175">
        <v>46066</v>
      </c>
      <c r="B369" s="170" t="s">
        <v>342</v>
      </c>
      <c r="C369" s="335">
        <v>10456</v>
      </c>
      <c r="D369" s="336"/>
      <c r="E369" s="176">
        <f t="shared" si="5"/>
        <v>612341.85000002291</v>
      </c>
      <c r="F369" s="174"/>
      <c r="G369" s="174"/>
      <c r="H369" s="174"/>
      <c r="I369" s="174"/>
      <c r="J369" s="174"/>
      <c r="K369" s="178"/>
      <c r="L369" s="66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3.5" customHeight="1" x14ac:dyDescent="0.25">
      <c r="A370" s="175">
        <v>46066</v>
      </c>
      <c r="B370" s="170" t="s">
        <v>225</v>
      </c>
      <c r="C370" s="335">
        <v>6</v>
      </c>
      <c r="D370" s="336"/>
      <c r="E370" s="176">
        <f t="shared" si="5"/>
        <v>612335.85000002291</v>
      </c>
      <c r="F370" s="174"/>
      <c r="G370" s="174"/>
      <c r="H370" s="174"/>
      <c r="I370" s="174"/>
      <c r="J370" s="174"/>
      <c r="K370" s="178"/>
      <c r="L370" s="66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3.5" customHeight="1" x14ac:dyDescent="0.25">
      <c r="A371" s="175">
        <v>46066</v>
      </c>
      <c r="B371" s="170" t="s">
        <v>226</v>
      </c>
      <c r="C371" s="335">
        <v>0.96</v>
      </c>
      <c r="D371" s="336"/>
      <c r="E371" s="176">
        <f t="shared" si="5"/>
        <v>612334.89000002295</v>
      </c>
      <c r="F371" s="207"/>
      <c r="G371" s="181"/>
      <c r="H371" s="205"/>
      <c r="I371" s="181"/>
      <c r="J371" s="209"/>
      <c r="K371" s="178"/>
      <c r="L371" s="66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3.5" customHeight="1" x14ac:dyDescent="0.25">
      <c r="A372" s="175">
        <v>46066</v>
      </c>
      <c r="B372" s="170" t="s">
        <v>343</v>
      </c>
      <c r="C372" s="335">
        <v>9302.08</v>
      </c>
      <c r="D372" s="336"/>
      <c r="E372" s="176">
        <f t="shared" si="5"/>
        <v>603032.81000002299</v>
      </c>
      <c r="F372" s="179"/>
      <c r="G372" s="179"/>
      <c r="H372" s="179"/>
      <c r="I372" s="179"/>
      <c r="J372" s="179"/>
      <c r="K372" s="178"/>
      <c r="L372" s="66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3.5" customHeight="1" x14ac:dyDescent="0.25">
      <c r="A373" s="175">
        <v>46066</v>
      </c>
      <c r="B373" s="170" t="s">
        <v>225</v>
      </c>
      <c r="C373" s="335">
        <v>6</v>
      </c>
      <c r="D373" s="336"/>
      <c r="E373" s="176">
        <f t="shared" si="5"/>
        <v>603026.81000002299</v>
      </c>
      <c r="F373" s="204"/>
      <c r="G373" s="181"/>
      <c r="H373" s="205"/>
      <c r="I373" s="181"/>
      <c r="J373" s="206"/>
      <c r="K373" s="178"/>
      <c r="L373" s="66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3.5" customHeight="1" x14ac:dyDescent="0.25">
      <c r="A374" s="175">
        <v>46066</v>
      </c>
      <c r="B374" s="170" t="s">
        <v>226</v>
      </c>
      <c r="C374" s="335">
        <v>0.96</v>
      </c>
      <c r="D374" s="336"/>
      <c r="E374" s="176">
        <f t="shared" si="5"/>
        <v>603025.85000002303</v>
      </c>
      <c r="F374" s="173"/>
      <c r="G374" s="199"/>
      <c r="H374" s="192"/>
      <c r="I374" s="197"/>
      <c r="J374" s="174"/>
      <c r="K374" s="178"/>
      <c r="L374" s="66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3.5" customHeight="1" x14ac:dyDescent="0.25">
      <c r="A375" s="175">
        <v>46066</v>
      </c>
      <c r="B375" s="170" t="s">
        <v>344</v>
      </c>
      <c r="C375" s="335">
        <v>2625</v>
      </c>
      <c r="D375" s="336"/>
      <c r="E375" s="176">
        <f t="shared" si="5"/>
        <v>600400.85000002303</v>
      </c>
      <c r="F375" s="173"/>
      <c r="G375" s="199"/>
      <c r="H375" s="192"/>
      <c r="I375" s="197"/>
      <c r="J375" s="174"/>
      <c r="K375" s="178"/>
      <c r="L375" s="66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3.5" customHeight="1" x14ac:dyDescent="0.25">
      <c r="A376" s="175">
        <v>46066</v>
      </c>
      <c r="B376" s="170" t="s">
        <v>225</v>
      </c>
      <c r="C376" s="335">
        <v>6</v>
      </c>
      <c r="D376" s="336"/>
      <c r="E376" s="176">
        <f t="shared" si="5"/>
        <v>600394.85000002303</v>
      </c>
      <c r="F376" s="174"/>
      <c r="G376" s="174"/>
      <c r="H376" s="174"/>
      <c r="I376" s="174"/>
      <c r="J376" s="174"/>
      <c r="K376" s="178"/>
      <c r="L376" s="66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3.5" customHeight="1" x14ac:dyDescent="0.25">
      <c r="A377" s="175">
        <v>46066</v>
      </c>
      <c r="B377" s="170" t="s">
        <v>226</v>
      </c>
      <c r="C377" s="335">
        <v>0.96</v>
      </c>
      <c r="D377" s="336"/>
      <c r="E377" s="176">
        <f t="shared" si="5"/>
        <v>600393.89000002306</v>
      </c>
      <c r="F377" s="174"/>
      <c r="G377" s="174"/>
      <c r="H377" s="174"/>
      <c r="I377" s="174"/>
      <c r="J377" s="174"/>
      <c r="K377" s="178"/>
      <c r="L377" s="66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3.5" customHeight="1" x14ac:dyDescent="0.25">
      <c r="A378" s="175">
        <v>46066</v>
      </c>
      <c r="B378" s="170" t="s">
        <v>345</v>
      </c>
      <c r="C378" s="335">
        <v>8615</v>
      </c>
      <c r="D378" s="336"/>
      <c r="E378" s="176">
        <f t="shared" si="5"/>
        <v>591778.89000002306</v>
      </c>
      <c r="F378" s="174"/>
      <c r="G378" s="174"/>
      <c r="H378" s="174"/>
      <c r="I378" s="174"/>
      <c r="J378" s="174"/>
      <c r="K378" s="178"/>
      <c r="L378" s="66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3.5" customHeight="1" x14ac:dyDescent="0.25">
      <c r="A379" s="175">
        <v>46066</v>
      </c>
      <c r="B379" s="170" t="s">
        <v>225</v>
      </c>
      <c r="C379" s="335">
        <v>6</v>
      </c>
      <c r="D379" s="336"/>
      <c r="E379" s="176">
        <f t="shared" si="5"/>
        <v>591772.89000002306</v>
      </c>
      <c r="F379" s="174"/>
      <c r="G379" s="174"/>
      <c r="H379" s="174"/>
      <c r="I379" s="174"/>
      <c r="J379" s="174"/>
      <c r="K379" s="178"/>
      <c r="L379" s="66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3.5" customHeight="1" x14ac:dyDescent="0.25">
      <c r="A380" s="175">
        <v>46066</v>
      </c>
      <c r="B380" s="170" t="s">
        <v>226</v>
      </c>
      <c r="C380" s="335">
        <v>0.96</v>
      </c>
      <c r="D380" s="336"/>
      <c r="E380" s="176">
        <f t="shared" si="5"/>
        <v>591771.9300000231</v>
      </c>
      <c r="F380" s="174"/>
      <c r="G380" s="174"/>
      <c r="H380" s="174"/>
      <c r="I380" s="174"/>
      <c r="J380" s="174"/>
      <c r="K380" s="178"/>
      <c r="L380" s="66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3.5" customHeight="1" x14ac:dyDescent="0.25">
      <c r="A381" s="175">
        <v>46066</v>
      </c>
      <c r="B381" s="170" t="s">
        <v>346</v>
      </c>
      <c r="C381" s="335">
        <v>3500.52</v>
      </c>
      <c r="D381" s="336"/>
      <c r="E381" s="176">
        <f t="shared" si="5"/>
        <v>588271.41000002308</v>
      </c>
      <c r="F381" s="174"/>
      <c r="G381" s="174"/>
      <c r="H381" s="174"/>
      <c r="I381" s="174"/>
      <c r="J381" s="174"/>
      <c r="K381" s="178"/>
      <c r="L381" s="66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3.5" customHeight="1" x14ac:dyDescent="0.25">
      <c r="A382" s="175">
        <v>46066</v>
      </c>
      <c r="B382" s="170" t="s">
        <v>225</v>
      </c>
      <c r="C382" s="335">
        <v>6</v>
      </c>
      <c r="D382" s="336"/>
      <c r="E382" s="176">
        <f t="shared" si="5"/>
        <v>588265.41000002308</v>
      </c>
      <c r="F382" s="174"/>
      <c r="G382" s="174"/>
      <c r="H382" s="174"/>
      <c r="I382" s="174"/>
      <c r="J382" s="174"/>
      <c r="K382" s="178"/>
      <c r="L382" s="66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3.5" customHeight="1" x14ac:dyDescent="0.25">
      <c r="A383" s="175">
        <v>46066</v>
      </c>
      <c r="B383" s="170" t="s">
        <v>226</v>
      </c>
      <c r="C383" s="335">
        <v>0.96</v>
      </c>
      <c r="D383" s="336"/>
      <c r="E383" s="176">
        <f t="shared" si="5"/>
        <v>588264.45000002312</v>
      </c>
      <c r="F383" s="174"/>
      <c r="G383" s="174"/>
      <c r="H383" s="174"/>
      <c r="I383" s="174"/>
      <c r="J383" s="174"/>
      <c r="K383" s="178"/>
      <c r="L383" s="66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3.5" customHeight="1" x14ac:dyDescent="0.25">
      <c r="A384" s="175">
        <v>46066</v>
      </c>
      <c r="B384" s="170" t="s">
        <v>347</v>
      </c>
      <c r="C384" s="335">
        <v>12600</v>
      </c>
      <c r="D384" s="336"/>
      <c r="E384" s="176">
        <f t="shared" si="5"/>
        <v>575664.45000002312</v>
      </c>
      <c r="F384" s="174"/>
      <c r="G384" s="174"/>
      <c r="H384" s="174"/>
      <c r="I384" s="174"/>
      <c r="J384" s="174"/>
      <c r="K384" s="178"/>
      <c r="L384" s="66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3.5" customHeight="1" x14ac:dyDescent="0.25">
      <c r="A385" s="175">
        <v>46066</v>
      </c>
      <c r="B385" s="170" t="s">
        <v>225</v>
      </c>
      <c r="C385" s="335">
        <v>6</v>
      </c>
      <c r="D385" s="336"/>
      <c r="E385" s="176">
        <f t="shared" si="5"/>
        <v>575658.45000002312</v>
      </c>
      <c r="F385" s="174"/>
      <c r="G385" s="174"/>
      <c r="H385" s="174"/>
      <c r="I385" s="174"/>
      <c r="J385" s="174"/>
      <c r="K385" s="178"/>
      <c r="L385" s="66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3.5" customHeight="1" x14ac:dyDescent="0.25">
      <c r="A386" s="175">
        <v>46066</v>
      </c>
      <c r="B386" s="170" t="s">
        <v>226</v>
      </c>
      <c r="C386" s="335">
        <v>0.96</v>
      </c>
      <c r="D386" s="336"/>
      <c r="E386" s="176">
        <f t="shared" si="5"/>
        <v>575657.49000002316</v>
      </c>
      <c r="F386" s="174"/>
      <c r="G386" s="174"/>
      <c r="H386" s="174"/>
      <c r="I386" s="174"/>
      <c r="J386" s="174"/>
      <c r="K386" s="178"/>
      <c r="L386" s="66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3.5" customHeight="1" x14ac:dyDescent="0.25">
      <c r="A387" s="175">
        <v>46066</v>
      </c>
      <c r="B387" s="170" t="s">
        <v>348</v>
      </c>
      <c r="C387" s="335">
        <v>1125</v>
      </c>
      <c r="D387" s="336"/>
      <c r="E387" s="176">
        <f t="shared" si="5"/>
        <v>574532.49000002316</v>
      </c>
      <c r="F387" s="174"/>
      <c r="G387" s="174"/>
      <c r="H387" s="174"/>
      <c r="I387" s="174"/>
      <c r="J387" s="174"/>
      <c r="K387" s="178"/>
      <c r="L387" s="66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3.5" customHeight="1" x14ac:dyDescent="0.25">
      <c r="A388" s="175">
        <v>46066</v>
      </c>
      <c r="B388" s="170" t="s">
        <v>225</v>
      </c>
      <c r="C388" s="335">
        <v>6</v>
      </c>
      <c r="D388" s="336"/>
      <c r="E388" s="176">
        <f t="shared" si="5"/>
        <v>574526.49000002316</v>
      </c>
      <c r="F388" s="174"/>
      <c r="G388" s="174"/>
      <c r="H388" s="174"/>
      <c r="I388" s="174"/>
      <c r="J388" s="174"/>
      <c r="K388" s="178"/>
      <c r="L388" s="66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3.5" customHeight="1" x14ac:dyDescent="0.25">
      <c r="A389" s="175">
        <v>46066</v>
      </c>
      <c r="B389" s="170" t="s">
        <v>226</v>
      </c>
      <c r="C389" s="335">
        <v>0.96</v>
      </c>
      <c r="D389" s="336"/>
      <c r="E389" s="176">
        <f t="shared" si="5"/>
        <v>574525.53000002319</v>
      </c>
      <c r="F389" s="174"/>
      <c r="G389" s="174"/>
      <c r="H389" s="174"/>
      <c r="I389" s="174"/>
      <c r="J389" s="174"/>
      <c r="K389" s="178"/>
      <c r="L389" s="66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3.5" customHeight="1" x14ac:dyDescent="0.25">
      <c r="A390" s="175">
        <v>46066</v>
      </c>
      <c r="B390" s="170" t="s">
        <v>349</v>
      </c>
      <c r="C390" s="335">
        <v>320.32</v>
      </c>
      <c r="D390" s="336"/>
      <c r="E390" s="176">
        <f t="shared" si="5"/>
        <v>574205.21000002325</v>
      </c>
      <c r="F390" s="174"/>
      <c r="G390" s="174"/>
      <c r="H390" s="174"/>
      <c r="I390" s="174"/>
      <c r="J390" s="174"/>
      <c r="K390" s="178"/>
      <c r="L390" s="66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3.5" customHeight="1" x14ac:dyDescent="0.25">
      <c r="A391" s="175">
        <v>46066</v>
      </c>
      <c r="B391" s="170" t="s">
        <v>225</v>
      </c>
      <c r="C391" s="335">
        <v>6</v>
      </c>
      <c r="D391" s="336"/>
      <c r="E391" s="176">
        <f t="shared" si="5"/>
        <v>574199.21000002325</v>
      </c>
      <c r="F391" s="174"/>
      <c r="G391" s="174"/>
      <c r="H391" s="174"/>
      <c r="I391" s="174"/>
      <c r="J391" s="174"/>
      <c r="K391" s="178"/>
      <c r="L391" s="66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3.5" customHeight="1" x14ac:dyDescent="0.25">
      <c r="A392" s="175">
        <v>46066</v>
      </c>
      <c r="B392" s="170" t="s">
        <v>226</v>
      </c>
      <c r="C392" s="335">
        <v>0.96</v>
      </c>
      <c r="D392" s="336"/>
      <c r="E392" s="176">
        <f t="shared" ref="E392:E455" si="6">E391-C392+D392</f>
        <v>574198.25000002328</v>
      </c>
      <c r="F392" s="174"/>
      <c r="G392" s="174"/>
      <c r="H392" s="174"/>
      <c r="I392" s="174"/>
      <c r="J392" s="174"/>
      <c r="K392" s="178"/>
      <c r="L392" s="66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3.5" customHeight="1" x14ac:dyDescent="0.25">
      <c r="A393" s="175">
        <v>46066</v>
      </c>
      <c r="B393" s="170" t="s">
        <v>350</v>
      </c>
      <c r="C393" s="335">
        <v>23186.1</v>
      </c>
      <c r="D393" s="336"/>
      <c r="E393" s="176">
        <f t="shared" si="6"/>
        <v>551012.15000002331</v>
      </c>
      <c r="F393" s="174"/>
      <c r="G393" s="174"/>
      <c r="H393" s="174"/>
      <c r="I393" s="174"/>
      <c r="J393" s="174"/>
      <c r="K393" s="178"/>
      <c r="L393" s="66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3.5" customHeight="1" x14ac:dyDescent="0.25">
      <c r="A394" s="175">
        <v>46066</v>
      </c>
      <c r="B394" s="170" t="s">
        <v>225</v>
      </c>
      <c r="C394" s="335">
        <v>6</v>
      </c>
      <c r="D394" s="336"/>
      <c r="E394" s="176">
        <f t="shared" si="6"/>
        <v>551006.15000002331</v>
      </c>
      <c r="F394" s="174"/>
      <c r="G394" s="174"/>
      <c r="H394" s="174"/>
      <c r="I394" s="174"/>
      <c r="J394" s="174"/>
      <c r="K394" s="178"/>
      <c r="L394" s="66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3.5" customHeight="1" x14ac:dyDescent="0.25">
      <c r="A395" s="175">
        <v>46066</v>
      </c>
      <c r="B395" s="170" t="s">
        <v>226</v>
      </c>
      <c r="C395" s="335">
        <v>0.96</v>
      </c>
      <c r="D395" s="336"/>
      <c r="E395" s="176">
        <f t="shared" si="6"/>
        <v>551005.19000002334</v>
      </c>
      <c r="F395" s="174"/>
      <c r="G395" s="174"/>
      <c r="H395" s="174"/>
      <c r="I395" s="174"/>
      <c r="J395" s="174"/>
      <c r="K395" s="178"/>
      <c r="L395" s="66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3.5" customHeight="1" x14ac:dyDescent="0.25">
      <c r="A396" s="175">
        <v>46066</v>
      </c>
      <c r="B396" s="170" t="s">
        <v>351</v>
      </c>
      <c r="C396" s="335">
        <v>120868.57</v>
      </c>
      <c r="D396" s="336"/>
      <c r="E396" s="176">
        <f t="shared" si="6"/>
        <v>430136.62000002334</v>
      </c>
      <c r="F396" s="174"/>
      <c r="G396" s="174"/>
      <c r="H396" s="174"/>
      <c r="I396" s="174"/>
      <c r="J396" s="174"/>
      <c r="K396" s="178"/>
      <c r="L396" s="66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3.5" customHeight="1" x14ac:dyDescent="0.25">
      <c r="A397" s="175">
        <v>46066</v>
      </c>
      <c r="B397" s="170" t="s">
        <v>225</v>
      </c>
      <c r="C397" s="335">
        <v>6</v>
      </c>
      <c r="D397" s="336"/>
      <c r="E397" s="176">
        <f t="shared" si="6"/>
        <v>430130.62000002334</v>
      </c>
      <c r="F397" s="174"/>
      <c r="G397" s="174"/>
      <c r="H397" s="174"/>
      <c r="I397" s="174"/>
      <c r="J397" s="174"/>
      <c r="K397" s="178"/>
      <c r="L397" s="66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3.5" customHeight="1" x14ac:dyDescent="0.25">
      <c r="A398" s="175">
        <v>46066</v>
      </c>
      <c r="B398" s="170" t="s">
        <v>226</v>
      </c>
      <c r="C398" s="335">
        <v>0.96</v>
      </c>
      <c r="D398" s="336"/>
      <c r="E398" s="176">
        <f t="shared" si="6"/>
        <v>430129.66000002332</v>
      </c>
      <c r="F398" s="174"/>
      <c r="G398" s="174"/>
      <c r="H398" s="174"/>
      <c r="I398" s="174"/>
      <c r="J398" s="174"/>
      <c r="K398" s="178"/>
      <c r="L398" s="66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3.5" customHeight="1" x14ac:dyDescent="0.25">
      <c r="A399" s="175">
        <v>46066</v>
      </c>
      <c r="B399" s="170" t="s">
        <v>352</v>
      </c>
      <c r="C399" s="335">
        <v>734.4</v>
      </c>
      <c r="D399" s="336"/>
      <c r="E399" s="176">
        <f t="shared" si="6"/>
        <v>429395.26000002329</v>
      </c>
      <c r="F399" s="174"/>
      <c r="G399" s="174"/>
      <c r="H399" s="174"/>
      <c r="I399" s="174"/>
      <c r="J399" s="174"/>
      <c r="K399" s="178"/>
      <c r="L399" s="66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3.5" customHeight="1" x14ac:dyDescent="0.25">
      <c r="A400" s="175">
        <v>46066</v>
      </c>
      <c r="B400" s="170" t="s">
        <v>225</v>
      </c>
      <c r="C400" s="335">
        <v>6</v>
      </c>
      <c r="D400" s="336"/>
      <c r="E400" s="176">
        <f t="shared" si="6"/>
        <v>429389.26000002329</v>
      </c>
      <c r="F400" s="174"/>
      <c r="G400" s="174"/>
      <c r="H400" s="174"/>
      <c r="I400" s="174"/>
      <c r="J400" s="174"/>
      <c r="K400" s="178"/>
      <c r="L400" s="66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3.5" customHeight="1" x14ac:dyDescent="0.25">
      <c r="A401" s="175">
        <v>46066</v>
      </c>
      <c r="B401" s="170" t="s">
        <v>226</v>
      </c>
      <c r="C401" s="335">
        <v>0.96</v>
      </c>
      <c r="D401" s="336"/>
      <c r="E401" s="176">
        <f t="shared" si="6"/>
        <v>429388.30000002327</v>
      </c>
      <c r="F401" s="174"/>
      <c r="G401" s="174"/>
      <c r="H401" s="174"/>
      <c r="I401" s="174"/>
      <c r="J401" s="174"/>
      <c r="K401" s="178"/>
      <c r="L401" s="66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3.5" customHeight="1" x14ac:dyDescent="0.25">
      <c r="A402" s="175">
        <v>46066</v>
      </c>
      <c r="B402" s="170" t="s">
        <v>353</v>
      </c>
      <c r="C402" s="335">
        <v>2043.88</v>
      </c>
      <c r="D402" s="336"/>
      <c r="E402" s="176">
        <f t="shared" si="6"/>
        <v>427344.42000002327</v>
      </c>
      <c r="F402" s="174"/>
      <c r="G402" s="174"/>
      <c r="H402" s="174"/>
      <c r="I402" s="174"/>
      <c r="J402" s="174"/>
      <c r="K402" s="178"/>
      <c r="L402" s="66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3.5" customHeight="1" x14ac:dyDescent="0.25">
      <c r="A403" s="175">
        <v>46066</v>
      </c>
      <c r="B403" s="170" t="s">
        <v>225</v>
      </c>
      <c r="C403" s="335">
        <v>6</v>
      </c>
      <c r="D403" s="336"/>
      <c r="E403" s="176">
        <f t="shared" si="6"/>
        <v>427338.42000002327</v>
      </c>
      <c r="F403" s="174"/>
      <c r="G403" s="174"/>
      <c r="H403" s="174"/>
      <c r="I403" s="174"/>
      <c r="J403" s="174"/>
      <c r="K403" s="178"/>
      <c r="L403" s="66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3.5" customHeight="1" x14ac:dyDescent="0.25">
      <c r="A404" s="175">
        <v>46066</v>
      </c>
      <c r="B404" s="170" t="s">
        <v>226</v>
      </c>
      <c r="C404" s="335">
        <v>0.96</v>
      </c>
      <c r="D404" s="336"/>
      <c r="E404" s="176">
        <f t="shared" si="6"/>
        <v>427337.46000002325</v>
      </c>
      <c r="F404" s="174"/>
      <c r="G404" s="174"/>
      <c r="H404" s="174"/>
      <c r="I404" s="174"/>
      <c r="J404" s="174"/>
      <c r="K404" s="178"/>
      <c r="L404" s="66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3.5" customHeight="1" x14ac:dyDescent="0.25">
      <c r="A405" s="175">
        <v>46066</v>
      </c>
      <c r="B405" s="170" t="s">
        <v>354</v>
      </c>
      <c r="C405" s="335">
        <v>11512</v>
      </c>
      <c r="D405" s="336"/>
      <c r="E405" s="176">
        <f t="shared" si="6"/>
        <v>415825.46000002325</v>
      </c>
      <c r="F405" s="174"/>
      <c r="G405" s="174"/>
      <c r="H405" s="174"/>
      <c r="I405" s="174"/>
      <c r="J405" s="174"/>
      <c r="K405" s="178"/>
      <c r="L405" s="66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3.5" customHeight="1" x14ac:dyDescent="0.25">
      <c r="A406" s="175">
        <v>46066</v>
      </c>
      <c r="B406" s="170" t="s">
        <v>225</v>
      </c>
      <c r="C406" s="335">
        <v>6</v>
      </c>
      <c r="D406" s="336"/>
      <c r="E406" s="176">
        <f t="shared" si="6"/>
        <v>415819.46000002325</v>
      </c>
      <c r="F406" s="174"/>
      <c r="G406" s="174"/>
      <c r="H406" s="174"/>
      <c r="I406" s="174"/>
      <c r="J406" s="174"/>
      <c r="K406" s="178"/>
      <c r="L406" s="66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3.5" customHeight="1" x14ac:dyDescent="0.25">
      <c r="A407" s="175">
        <v>46066</v>
      </c>
      <c r="B407" s="170" t="s">
        <v>226</v>
      </c>
      <c r="C407" s="335">
        <v>0.96</v>
      </c>
      <c r="D407" s="336"/>
      <c r="E407" s="176">
        <f t="shared" si="6"/>
        <v>415818.50000002322</v>
      </c>
      <c r="F407" s="174"/>
      <c r="G407" s="174"/>
      <c r="H407" s="174"/>
      <c r="I407" s="174"/>
      <c r="J407" s="174"/>
      <c r="K407" s="178"/>
      <c r="L407" s="66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3.5" customHeight="1" x14ac:dyDescent="0.25">
      <c r="A408" s="175">
        <v>46066</v>
      </c>
      <c r="B408" s="170" t="s">
        <v>355</v>
      </c>
      <c r="C408" s="335">
        <v>12000</v>
      </c>
      <c r="D408" s="336"/>
      <c r="E408" s="176">
        <f t="shared" si="6"/>
        <v>403818.50000002322</v>
      </c>
      <c r="F408" s="174"/>
      <c r="G408" s="174"/>
      <c r="H408" s="174"/>
      <c r="I408" s="174"/>
      <c r="J408" s="174"/>
      <c r="K408" s="178"/>
      <c r="L408" s="66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3.5" customHeight="1" x14ac:dyDescent="0.25">
      <c r="A409" s="175">
        <v>46066</v>
      </c>
      <c r="B409" s="170" t="s">
        <v>225</v>
      </c>
      <c r="C409" s="335">
        <v>6</v>
      </c>
      <c r="D409" s="336"/>
      <c r="E409" s="176">
        <f t="shared" si="6"/>
        <v>403812.50000002322</v>
      </c>
      <c r="F409" s="174"/>
      <c r="G409" s="174"/>
      <c r="H409" s="174"/>
      <c r="I409" s="174"/>
      <c r="J409" s="174"/>
      <c r="K409" s="178"/>
      <c r="L409" s="66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3.5" customHeight="1" x14ac:dyDescent="0.25">
      <c r="A410" s="175">
        <v>46066</v>
      </c>
      <c r="B410" s="170" t="s">
        <v>226</v>
      </c>
      <c r="C410" s="335">
        <v>0.96</v>
      </c>
      <c r="D410" s="336"/>
      <c r="E410" s="176">
        <f t="shared" si="6"/>
        <v>403811.5400000232</v>
      </c>
      <c r="F410" s="174"/>
      <c r="G410" s="174"/>
      <c r="H410" s="174"/>
      <c r="I410" s="174"/>
      <c r="J410" s="174"/>
      <c r="K410" s="178"/>
      <c r="L410" s="66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3.5" customHeight="1" x14ac:dyDescent="0.25">
      <c r="A411" s="175">
        <v>46066</v>
      </c>
      <c r="B411" s="170" t="s">
        <v>356</v>
      </c>
      <c r="C411" s="335">
        <v>30296</v>
      </c>
      <c r="D411" s="336"/>
      <c r="E411" s="176">
        <f t="shared" si="6"/>
        <v>373515.5400000232</v>
      </c>
      <c r="F411" s="174"/>
      <c r="G411" s="174"/>
      <c r="H411" s="174"/>
      <c r="I411" s="174"/>
      <c r="J411" s="174"/>
      <c r="K411" s="178"/>
      <c r="L411" s="66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3.5" customHeight="1" x14ac:dyDescent="0.25">
      <c r="A412" s="175">
        <v>46066</v>
      </c>
      <c r="B412" s="170" t="s">
        <v>225</v>
      </c>
      <c r="C412" s="335">
        <v>6</v>
      </c>
      <c r="D412" s="336"/>
      <c r="E412" s="176">
        <f t="shared" si="6"/>
        <v>373509.5400000232</v>
      </c>
      <c r="F412" s="174"/>
      <c r="G412" s="174"/>
      <c r="H412" s="174"/>
      <c r="I412" s="174"/>
      <c r="J412" s="174"/>
      <c r="K412" s="178"/>
      <c r="L412" s="66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3.5" customHeight="1" x14ac:dyDescent="0.25">
      <c r="A413" s="175">
        <v>46066</v>
      </c>
      <c r="B413" s="170" t="s">
        <v>226</v>
      </c>
      <c r="C413" s="335">
        <v>0.96</v>
      </c>
      <c r="D413" s="336"/>
      <c r="E413" s="176">
        <f t="shared" si="6"/>
        <v>373508.58000002318</v>
      </c>
      <c r="F413" s="174"/>
      <c r="G413" s="174"/>
      <c r="H413" s="174"/>
      <c r="I413" s="174"/>
      <c r="J413" s="174"/>
      <c r="K413" s="178"/>
      <c r="L413" s="66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3.5" customHeight="1" x14ac:dyDescent="0.25">
      <c r="A414" s="175">
        <v>46066</v>
      </c>
      <c r="B414" s="170" t="s">
        <v>357</v>
      </c>
      <c r="C414" s="335">
        <v>2293.92</v>
      </c>
      <c r="D414" s="336"/>
      <c r="E414" s="176">
        <f t="shared" si="6"/>
        <v>371214.6600000232</v>
      </c>
      <c r="F414" s="174"/>
      <c r="G414" s="174"/>
      <c r="H414" s="174"/>
      <c r="I414" s="174"/>
      <c r="J414" s="174"/>
      <c r="K414" s="178"/>
      <c r="L414" s="66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3.5" customHeight="1" x14ac:dyDescent="0.25">
      <c r="A415" s="175">
        <v>46066</v>
      </c>
      <c r="B415" s="170" t="s">
        <v>225</v>
      </c>
      <c r="C415" s="335">
        <v>6</v>
      </c>
      <c r="D415" s="336"/>
      <c r="E415" s="176">
        <f t="shared" si="6"/>
        <v>371208.6600000232</v>
      </c>
      <c r="F415" s="174"/>
      <c r="G415" s="174"/>
      <c r="H415" s="174"/>
      <c r="I415" s="174"/>
      <c r="J415" s="174"/>
      <c r="K415" s="178"/>
      <c r="L415" s="66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3.5" customHeight="1" x14ac:dyDescent="0.25">
      <c r="A416" s="175">
        <v>46066</v>
      </c>
      <c r="B416" s="170" t="s">
        <v>226</v>
      </c>
      <c r="C416" s="335">
        <v>0.96</v>
      </c>
      <c r="D416" s="336"/>
      <c r="E416" s="176">
        <f t="shared" si="6"/>
        <v>371207.70000002318</v>
      </c>
      <c r="F416" s="174"/>
      <c r="G416" s="174"/>
      <c r="H416" s="174"/>
      <c r="I416" s="174"/>
      <c r="J416" s="174"/>
      <c r="K416" s="178"/>
      <c r="L416" s="66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3.5" customHeight="1" x14ac:dyDescent="0.25">
      <c r="A417" s="175">
        <v>46066</v>
      </c>
      <c r="B417" s="170" t="s">
        <v>358</v>
      </c>
      <c r="C417" s="335">
        <v>696</v>
      </c>
      <c r="D417" s="336"/>
      <c r="E417" s="176">
        <f t="shared" si="6"/>
        <v>370511.70000002318</v>
      </c>
      <c r="F417" s="174"/>
      <c r="G417" s="174"/>
      <c r="H417" s="174"/>
      <c r="I417" s="174"/>
      <c r="J417" s="174"/>
      <c r="K417" s="178"/>
      <c r="L417" s="66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3.5" customHeight="1" x14ac:dyDescent="0.25">
      <c r="A418" s="175">
        <v>46066</v>
      </c>
      <c r="B418" s="170" t="s">
        <v>225</v>
      </c>
      <c r="C418" s="335">
        <v>6</v>
      </c>
      <c r="D418" s="336"/>
      <c r="E418" s="176">
        <f t="shared" si="6"/>
        <v>370505.70000002318</v>
      </c>
      <c r="F418" s="174"/>
      <c r="G418" s="174"/>
      <c r="H418" s="174"/>
      <c r="I418" s="174"/>
      <c r="J418" s="174"/>
      <c r="K418" s="178"/>
      <c r="L418" s="66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3.5" customHeight="1" x14ac:dyDescent="0.25">
      <c r="A419" s="175">
        <v>46066</v>
      </c>
      <c r="B419" s="170" t="s">
        <v>226</v>
      </c>
      <c r="C419" s="335">
        <v>0.96</v>
      </c>
      <c r="D419" s="336"/>
      <c r="E419" s="176">
        <f t="shared" si="6"/>
        <v>370504.74000002316</v>
      </c>
      <c r="F419" s="174"/>
      <c r="G419" s="174"/>
      <c r="H419" s="174"/>
      <c r="I419" s="174"/>
      <c r="J419" s="174"/>
      <c r="K419" s="178"/>
      <c r="L419" s="66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3.5" customHeight="1" x14ac:dyDescent="0.25">
      <c r="A420" s="175">
        <v>46066</v>
      </c>
      <c r="B420" s="170" t="s">
        <v>359</v>
      </c>
      <c r="C420" s="335">
        <v>16653.88</v>
      </c>
      <c r="D420" s="336"/>
      <c r="E420" s="176">
        <f t="shared" si="6"/>
        <v>353850.86000002315</v>
      </c>
      <c r="F420" s="174"/>
      <c r="G420" s="174"/>
      <c r="H420" s="174"/>
      <c r="I420" s="174"/>
      <c r="J420" s="174"/>
      <c r="K420" s="178"/>
      <c r="L420" s="66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3.5" customHeight="1" x14ac:dyDescent="0.25">
      <c r="A421" s="175">
        <v>46066</v>
      </c>
      <c r="B421" s="170" t="s">
        <v>225</v>
      </c>
      <c r="C421" s="335">
        <v>6</v>
      </c>
      <c r="D421" s="336"/>
      <c r="E421" s="176">
        <f t="shared" si="6"/>
        <v>353844.86000002315</v>
      </c>
      <c r="F421" s="174"/>
      <c r="G421" s="174"/>
      <c r="H421" s="174"/>
      <c r="I421" s="174"/>
      <c r="J421" s="174"/>
      <c r="K421" s="178"/>
      <c r="L421" s="66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3.5" customHeight="1" x14ac:dyDescent="0.25">
      <c r="A422" s="175">
        <v>46066</v>
      </c>
      <c r="B422" s="170" t="s">
        <v>226</v>
      </c>
      <c r="C422" s="335">
        <v>0.96</v>
      </c>
      <c r="D422" s="336"/>
      <c r="E422" s="176">
        <f t="shared" si="6"/>
        <v>353843.90000002313</v>
      </c>
      <c r="F422" s="174"/>
      <c r="G422" s="174"/>
      <c r="H422" s="174"/>
      <c r="I422" s="174"/>
      <c r="J422" s="174"/>
      <c r="K422" s="178"/>
      <c r="L422" s="66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3.5" customHeight="1" x14ac:dyDescent="0.25">
      <c r="A423" s="175">
        <v>46066</v>
      </c>
      <c r="B423" s="170" t="s">
        <v>360</v>
      </c>
      <c r="C423" s="335">
        <v>2890</v>
      </c>
      <c r="D423" s="336"/>
      <c r="E423" s="176">
        <f t="shared" si="6"/>
        <v>350953.90000002313</v>
      </c>
      <c r="F423" s="174"/>
      <c r="G423" s="174"/>
      <c r="H423" s="174"/>
      <c r="I423" s="174"/>
      <c r="J423" s="174"/>
      <c r="K423" s="178"/>
      <c r="L423" s="66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3.5" customHeight="1" x14ac:dyDescent="0.25">
      <c r="A424" s="175">
        <v>46066</v>
      </c>
      <c r="B424" s="170" t="s">
        <v>225</v>
      </c>
      <c r="C424" s="335">
        <v>6</v>
      </c>
      <c r="D424" s="336"/>
      <c r="E424" s="176">
        <f t="shared" si="6"/>
        <v>350947.90000002313</v>
      </c>
      <c r="F424" s="174"/>
      <c r="G424" s="174"/>
      <c r="H424" s="174"/>
      <c r="I424" s="174"/>
      <c r="J424" s="174"/>
      <c r="K424" s="178"/>
      <c r="L424" s="66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3.5" customHeight="1" x14ac:dyDescent="0.25">
      <c r="A425" s="175">
        <v>46066</v>
      </c>
      <c r="B425" s="170" t="s">
        <v>226</v>
      </c>
      <c r="C425" s="335">
        <v>0.96</v>
      </c>
      <c r="D425" s="336"/>
      <c r="E425" s="176">
        <f t="shared" si="6"/>
        <v>350946.94000002311</v>
      </c>
      <c r="F425" s="204"/>
      <c r="G425" s="181"/>
      <c r="H425" s="205"/>
      <c r="I425" s="181"/>
      <c r="J425" s="206"/>
      <c r="K425" s="178"/>
      <c r="L425" s="66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3.5" customHeight="1" x14ac:dyDescent="0.25">
      <c r="A426" s="175">
        <v>46066</v>
      </c>
      <c r="B426" s="170" t="s">
        <v>361</v>
      </c>
      <c r="C426" s="335">
        <v>42994.76</v>
      </c>
      <c r="D426" s="336"/>
      <c r="E426" s="176">
        <f t="shared" si="6"/>
        <v>307952.1800000231</v>
      </c>
      <c r="F426" s="173"/>
      <c r="G426" s="174"/>
      <c r="H426" s="177"/>
      <c r="I426" s="197"/>
      <c r="J426" s="174"/>
      <c r="K426" s="178"/>
      <c r="L426" s="66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3.5" customHeight="1" x14ac:dyDescent="0.25">
      <c r="A427" s="175">
        <v>46066</v>
      </c>
      <c r="B427" s="170" t="s">
        <v>225</v>
      </c>
      <c r="C427" s="335">
        <v>6</v>
      </c>
      <c r="D427" s="336"/>
      <c r="E427" s="176">
        <f t="shared" si="6"/>
        <v>307946.1800000231</v>
      </c>
      <c r="F427" s="174"/>
      <c r="G427" s="174"/>
      <c r="H427" s="174"/>
      <c r="I427" s="174"/>
      <c r="J427" s="174"/>
      <c r="K427" s="178"/>
      <c r="L427" s="66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3.5" customHeight="1" x14ac:dyDescent="0.25">
      <c r="A428" s="175">
        <v>46066</v>
      </c>
      <c r="B428" s="170" t="s">
        <v>226</v>
      </c>
      <c r="C428" s="335">
        <v>0.96</v>
      </c>
      <c r="D428" s="336"/>
      <c r="E428" s="176">
        <f t="shared" si="6"/>
        <v>307945.22000002308</v>
      </c>
      <c r="F428" s="174"/>
      <c r="G428" s="174"/>
      <c r="H428" s="174"/>
      <c r="I428" s="174"/>
      <c r="J428" s="174"/>
      <c r="K428" s="178"/>
      <c r="L428" s="66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s="179" customFormat="1" ht="13.5" customHeight="1" x14ac:dyDescent="0.25">
      <c r="A429" s="175">
        <v>46066</v>
      </c>
      <c r="B429" s="170" t="s">
        <v>362</v>
      </c>
      <c r="C429" s="335">
        <v>2370</v>
      </c>
      <c r="D429" s="336"/>
      <c r="E429" s="176">
        <f t="shared" si="6"/>
        <v>305575.22000002308</v>
      </c>
      <c r="F429" s="173"/>
      <c r="G429" s="174"/>
      <c r="H429" s="177"/>
      <c r="I429" s="174"/>
      <c r="J429" s="174"/>
      <c r="K429" s="178"/>
      <c r="L429" s="178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spans="1:26" ht="13.5" customHeight="1" x14ac:dyDescent="0.25">
      <c r="A430" s="175">
        <v>46066</v>
      </c>
      <c r="B430" s="170" t="s">
        <v>225</v>
      </c>
      <c r="C430" s="335">
        <v>6</v>
      </c>
      <c r="D430" s="336"/>
      <c r="E430" s="176">
        <f t="shared" si="6"/>
        <v>305569.22000002308</v>
      </c>
      <c r="F430" s="174"/>
      <c r="G430" s="174"/>
      <c r="H430" s="174"/>
      <c r="I430" s="174"/>
      <c r="J430" s="174"/>
      <c r="K430" s="178"/>
      <c r="L430" s="66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3.5" customHeight="1" x14ac:dyDescent="0.25">
      <c r="A431" s="175">
        <v>46066</v>
      </c>
      <c r="B431" s="170" t="s">
        <v>226</v>
      </c>
      <c r="C431" s="335">
        <v>0.96</v>
      </c>
      <c r="D431" s="336"/>
      <c r="E431" s="176">
        <f t="shared" si="6"/>
        <v>305568.26000002306</v>
      </c>
      <c r="F431" s="174"/>
      <c r="G431" s="174"/>
      <c r="H431" s="174"/>
      <c r="I431" s="174"/>
      <c r="J431" s="174"/>
      <c r="K431" s="178"/>
      <c r="L431" s="66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3.5" customHeight="1" x14ac:dyDescent="0.25">
      <c r="A432" s="175">
        <v>46066</v>
      </c>
      <c r="B432" s="170" t="s">
        <v>363</v>
      </c>
      <c r="C432" s="335">
        <v>3150</v>
      </c>
      <c r="D432" s="336"/>
      <c r="E432" s="176">
        <f t="shared" si="6"/>
        <v>302418.26000002306</v>
      </c>
      <c r="F432" s="174"/>
      <c r="G432" s="174"/>
      <c r="H432" s="174"/>
      <c r="I432" s="174"/>
      <c r="J432" s="174"/>
      <c r="K432" s="178"/>
      <c r="L432" s="66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3.5" customHeight="1" x14ac:dyDescent="0.25">
      <c r="A433" s="175">
        <v>46066</v>
      </c>
      <c r="B433" s="170" t="s">
        <v>225</v>
      </c>
      <c r="C433" s="335">
        <v>6</v>
      </c>
      <c r="D433" s="336"/>
      <c r="E433" s="176">
        <f t="shared" si="6"/>
        <v>302412.26000002306</v>
      </c>
      <c r="F433" s="174"/>
      <c r="G433" s="174"/>
      <c r="H433" s="174"/>
      <c r="I433" s="174"/>
      <c r="J433" s="174"/>
      <c r="K433" s="178"/>
      <c r="L433" s="66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3.5" customHeight="1" x14ac:dyDescent="0.25">
      <c r="A434" s="175">
        <v>46066</v>
      </c>
      <c r="B434" s="170" t="s">
        <v>226</v>
      </c>
      <c r="C434" s="335">
        <v>0.96</v>
      </c>
      <c r="D434" s="336"/>
      <c r="E434" s="176">
        <f t="shared" si="6"/>
        <v>302411.30000002304</v>
      </c>
      <c r="F434" s="174"/>
      <c r="G434" s="174"/>
      <c r="H434" s="174"/>
      <c r="I434" s="174"/>
      <c r="J434" s="174"/>
      <c r="K434" s="178"/>
      <c r="L434" s="66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3.5" customHeight="1" x14ac:dyDescent="0.25">
      <c r="A435" s="175">
        <v>46066</v>
      </c>
      <c r="B435" s="170" t="s">
        <v>364</v>
      </c>
      <c r="C435" s="335">
        <v>44160.77</v>
      </c>
      <c r="D435" s="336"/>
      <c r="E435" s="176">
        <f t="shared" si="6"/>
        <v>258250.53000002305</v>
      </c>
      <c r="F435" s="173"/>
      <c r="G435" s="174"/>
      <c r="H435" s="177"/>
      <c r="I435" s="197"/>
      <c r="J435" s="174"/>
      <c r="K435" s="178"/>
      <c r="L435" s="66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3.5" customHeight="1" x14ac:dyDescent="0.25">
      <c r="A436" s="175">
        <v>46066</v>
      </c>
      <c r="B436" s="170" t="s">
        <v>225</v>
      </c>
      <c r="C436" s="335">
        <v>6</v>
      </c>
      <c r="D436" s="336"/>
      <c r="E436" s="176">
        <f t="shared" si="6"/>
        <v>258244.53000002305</v>
      </c>
      <c r="F436" s="174"/>
      <c r="G436" s="174"/>
      <c r="H436" s="174"/>
      <c r="I436" s="174"/>
      <c r="J436" s="174"/>
      <c r="K436" s="178"/>
      <c r="L436" s="66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3.5" customHeight="1" x14ac:dyDescent="0.25">
      <c r="A437" s="175">
        <v>46066</v>
      </c>
      <c r="B437" s="170" t="s">
        <v>226</v>
      </c>
      <c r="C437" s="335">
        <v>0.96</v>
      </c>
      <c r="D437" s="336"/>
      <c r="E437" s="176">
        <f t="shared" si="6"/>
        <v>258243.57000002306</v>
      </c>
      <c r="F437" s="174"/>
      <c r="G437" s="174"/>
      <c r="H437" s="174"/>
      <c r="I437" s="174"/>
      <c r="J437" s="174"/>
      <c r="K437" s="178"/>
      <c r="L437" s="66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3.5" customHeight="1" x14ac:dyDescent="0.25">
      <c r="A438" s="175">
        <v>46066</v>
      </c>
      <c r="B438" s="170" t="s">
        <v>365</v>
      </c>
      <c r="C438" s="335">
        <v>6364</v>
      </c>
      <c r="D438" s="336"/>
      <c r="E438" s="176">
        <f t="shared" si="6"/>
        <v>251879.57000002306</v>
      </c>
      <c r="F438" s="174"/>
      <c r="G438" s="174"/>
      <c r="H438" s="174"/>
      <c r="I438" s="174"/>
      <c r="J438" s="174"/>
      <c r="K438" s="178"/>
      <c r="L438" s="66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3.5" customHeight="1" x14ac:dyDescent="0.25">
      <c r="A439" s="175">
        <v>46066</v>
      </c>
      <c r="B439" s="170" t="s">
        <v>225</v>
      </c>
      <c r="C439" s="335">
        <v>6</v>
      </c>
      <c r="D439" s="336"/>
      <c r="E439" s="176">
        <f t="shared" si="6"/>
        <v>251873.57000002306</v>
      </c>
      <c r="F439" s="174"/>
      <c r="G439" s="174"/>
      <c r="H439" s="174"/>
      <c r="I439" s="174"/>
      <c r="J439" s="174"/>
      <c r="K439" s="178"/>
      <c r="L439" s="66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3.5" customHeight="1" x14ac:dyDescent="0.25">
      <c r="A440" s="175">
        <v>46066</v>
      </c>
      <c r="B440" s="170" t="s">
        <v>226</v>
      </c>
      <c r="C440" s="335">
        <v>0.96</v>
      </c>
      <c r="D440" s="336"/>
      <c r="E440" s="176">
        <f t="shared" si="6"/>
        <v>251872.61000002307</v>
      </c>
      <c r="F440" s="174"/>
      <c r="G440" s="174"/>
      <c r="H440" s="174"/>
      <c r="I440" s="174"/>
      <c r="J440" s="174"/>
      <c r="K440" s="178"/>
      <c r="L440" s="66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3.5" customHeight="1" x14ac:dyDescent="0.25">
      <c r="A441" s="175">
        <v>46066</v>
      </c>
      <c r="B441" s="170" t="s">
        <v>366</v>
      </c>
      <c r="C441" s="335">
        <v>4950</v>
      </c>
      <c r="D441" s="336"/>
      <c r="E441" s="176">
        <f t="shared" si="6"/>
        <v>246922.61000002307</v>
      </c>
      <c r="F441" s="174"/>
      <c r="G441" s="174"/>
      <c r="H441" s="174"/>
      <c r="I441" s="174"/>
      <c r="J441" s="174"/>
      <c r="K441" s="178"/>
      <c r="L441" s="66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3.5" customHeight="1" x14ac:dyDescent="0.25">
      <c r="A442" s="175">
        <v>46066</v>
      </c>
      <c r="B442" s="170" t="s">
        <v>225</v>
      </c>
      <c r="C442" s="335">
        <v>6</v>
      </c>
      <c r="D442" s="336"/>
      <c r="E442" s="176">
        <f t="shared" si="6"/>
        <v>246916.61000002307</v>
      </c>
      <c r="F442" s="174"/>
      <c r="G442" s="174"/>
      <c r="H442" s="174"/>
      <c r="I442" s="174"/>
      <c r="J442" s="174"/>
      <c r="K442" s="178"/>
      <c r="L442" s="66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3.5" customHeight="1" x14ac:dyDescent="0.25">
      <c r="A443" s="175">
        <v>46066</v>
      </c>
      <c r="B443" s="170" t="s">
        <v>226</v>
      </c>
      <c r="C443" s="335">
        <v>0.96</v>
      </c>
      <c r="D443" s="336"/>
      <c r="E443" s="176">
        <f t="shared" si="6"/>
        <v>246915.65000002307</v>
      </c>
      <c r="F443" s="174"/>
      <c r="G443" s="174"/>
      <c r="H443" s="174"/>
      <c r="I443" s="174"/>
      <c r="J443" s="174"/>
      <c r="K443" s="178"/>
      <c r="L443" s="66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3.5" customHeight="1" x14ac:dyDescent="0.25">
      <c r="A444" s="175">
        <v>46069</v>
      </c>
      <c r="B444" s="170" t="s">
        <v>62</v>
      </c>
      <c r="C444" s="335">
        <v>118267.4</v>
      </c>
      <c r="D444" s="336"/>
      <c r="E444" s="176">
        <f t="shared" si="6"/>
        <v>128648.25000002308</v>
      </c>
      <c r="F444" s="174"/>
      <c r="G444" s="203"/>
      <c r="H444" s="174"/>
      <c r="I444" s="174"/>
      <c r="J444" s="174"/>
      <c r="K444" s="178"/>
      <c r="L444" s="66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3.5" customHeight="1" x14ac:dyDescent="0.25">
      <c r="A445" s="175">
        <v>46069</v>
      </c>
      <c r="B445" s="170" t="s">
        <v>62</v>
      </c>
      <c r="C445" s="335">
        <v>9157.7999999999993</v>
      </c>
      <c r="D445" s="336"/>
      <c r="E445" s="176">
        <f t="shared" si="6"/>
        <v>119490.45000002308</v>
      </c>
      <c r="F445" s="174"/>
      <c r="G445" s="174"/>
      <c r="H445" s="174"/>
      <c r="I445" s="174"/>
      <c r="J445" s="174"/>
      <c r="K445" s="178"/>
      <c r="L445" s="66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3.5" customHeight="1" x14ac:dyDescent="0.25">
      <c r="A446" s="175">
        <v>46069</v>
      </c>
      <c r="B446" s="170" t="s">
        <v>368</v>
      </c>
      <c r="C446" s="336"/>
      <c r="D446" s="335">
        <v>270754</v>
      </c>
      <c r="E446" s="176">
        <f t="shared" si="6"/>
        <v>390244.45000002306</v>
      </c>
      <c r="F446" s="173"/>
      <c r="G446" s="174"/>
      <c r="H446" s="177"/>
      <c r="I446" s="197"/>
      <c r="J446" s="174"/>
      <c r="K446" s="178"/>
      <c r="L446" s="66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3.5" customHeight="1" x14ac:dyDescent="0.25">
      <c r="A447" s="175">
        <v>46069</v>
      </c>
      <c r="B447" s="170" t="s">
        <v>99</v>
      </c>
      <c r="C447" s="335">
        <v>1500</v>
      </c>
      <c r="D447" s="336"/>
      <c r="E447" s="176">
        <f t="shared" si="6"/>
        <v>388744.45000002306</v>
      </c>
      <c r="F447" s="174"/>
      <c r="G447" s="174"/>
      <c r="H447" s="174"/>
      <c r="I447" s="174"/>
      <c r="J447" s="174"/>
      <c r="K447" s="178"/>
      <c r="L447" s="66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3.5" customHeight="1" x14ac:dyDescent="0.25">
      <c r="A448" s="175">
        <v>46069</v>
      </c>
      <c r="B448" s="170" t="s">
        <v>369</v>
      </c>
      <c r="C448" s="336"/>
      <c r="D448" s="335">
        <v>273530</v>
      </c>
      <c r="E448" s="176">
        <f t="shared" si="6"/>
        <v>662274.450000023</v>
      </c>
      <c r="F448" s="173"/>
      <c r="G448" s="174"/>
      <c r="H448" s="177"/>
      <c r="I448" s="197"/>
      <c r="J448" s="174"/>
      <c r="K448" s="178"/>
      <c r="L448" s="66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3.5" customHeight="1" x14ac:dyDescent="0.25">
      <c r="A449" s="175"/>
      <c r="B449" s="170"/>
      <c r="C449" s="210"/>
      <c r="D449" s="170"/>
      <c r="E449" s="176">
        <f t="shared" si="6"/>
        <v>662274.450000023</v>
      </c>
      <c r="F449" s="174"/>
      <c r="G449" s="174"/>
      <c r="H449" s="174"/>
      <c r="I449" s="174"/>
      <c r="J449" s="174"/>
      <c r="K449" s="178"/>
      <c r="L449" s="66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3.5" customHeight="1" x14ac:dyDescent="0.25">
      <c r="A450" s="175"/>
      <c r="B450" s="170"/>
      <c r="C450" s="210"/>
      <c r="D450" s="170"/>
      <c r="E450" s="176">
        <f t="shared" si="6"/>
        <v>662274.450000023</v>
      </c>
      <c r="F450" s="174"/>
      <c r="G450" s="174"/>
      <c r="H450" s="174"/>
      <c r="I450" s="174"/>
      <c r="J450" s="174"/>
      <c r="K450" s="178"/>
      <c r="L450" s="66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3.5" customHeight="1" x14ac:dyDescent="0.25">
      <c r="A451" s="175"/>
      <c r="B451" s="170"/>
      <c r="C451" s="210"/>
      <c r="D451" s="170"/>
      <c r="E451" s="176">
        <f t="shared" si="6"/>
        <v>662274.450000023</v>
      </c>
      <c r="F451" s="174"/>
      <c r="G451" s="174"/>
      <c r="H451" s="174"/>
      <c r="I451" s="174"/>
      <c r="J451" s="174"/>
      <c r="K451" s="178"/>
      <c r="L451" s="66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3.5" customHeight="1" x14ac:dyDescent="0.25">
      <c r="A452" s="175"/>
      <c r="B452" s="170"/>
      <c r="C452" s="210"/>
      <c r="D452" s="170"/>
      <c r="E452" s="176">
        <f t="shared" si="6"/>
        <v>662274.450000023</v>
      </c>
      <c r="F452" s="174"/>
      <c r="G452" s="174"/>
      <c r="H452" s="174"/>
      <c r="I452" s="174"/>
      <c r="J452" s="174"/>
      <c r="K452" s="178"/>
      <c r="L452" s="66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3.5" customHeight="1" x14ac:dyDescent="0.25">
      <c r="A453" s="175"/>
      <c r="B453" s="170"/>
      <c r="C453" s="210"/>
      <c r="D453" s="170"/>
      <c r="E453" s="176">
        <f t="shared" si="6"/>
        <v>662274.450000023</v>
      </c>
      <c r="F453" s="174"/>
      <c r="G453" s="174"/>
      <c r="H453" s="174"/>
      <c r="I453" s="174"/>
      <c r="J453" s="174"/>
      <c r="K453" s="178"/>
      <c r="L453" s="66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3.5" customHeight="1" x14ac:dyDescent="0.25">
      <c r="A454" s="175"/>
      <c r="B454" s="170"/>
      <c r="C454" s="210"/>
      <c r="D454" s="170"/>
      <c r="E454" s="176">
        <f t="shared" si="6"/>
        <v>662274.450000023</v>
      </c>
      <c r="F454" s="174"/>
      <c r="G454" s="174"/>
      <c r="H454" s="174"/>
      <c r="I454" s="174"/>
      <c r="J454" s="174"/>
      <c r="K454" s="178"/>
      <c r="L454" s="66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3.5" customHeight="1" x14ac:dyDescent="0.25">
      <c r="A455" s="175"/>
      <c r="B455" s="170"/>
      <c r="C455" s="210"/>
      <c r="D455" s="170"/>
      <c r="E455" s="176">
        <f t="shared" si="6"/>
        <v>662274.450000023</v>
      </c>
      <c r="F455" s="174"/>
      <c r="G455" s="174"/>
      <c r="H455" s="174"/>
      <c r="I455" s="174"/>
      <c r="J455" s="174"/>
      <c r="K455" s="178"/>
      <c r="L455" s="66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3.5" customHeight="1" x14ac:dyDescent="0.25">
      <c r="A456" s="175"/>
      <c r="B456" s="170"/>
      <c r="C456" s="210"/>
      <c r="D456" s="170"/>
      <c r="E456" s="176">
        <f t="shared" ref="E456:E519" si="7">E455-C456+D456</f>
        <v>662274.450000023</v>
      </c>
      <c r="F456" s="174"/>
      <c r="G456" s="174"/>
      <c r="H456" s="174"/>
      <c r="I456" s="174"/>
      <c r="J456" s="174"/>
      <c r="K456" s="178"/>
      <c r="L456" s="66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3.5" customHeight="1" x14ac:dyDescent="0.25">
      <c r="A457" s="175"/>
      <c r="B457" s="170"/>
      <c r="C457" s="210"/>
      <c r="D457" s="170"/>
      <c r="E457" s="176">
        <f t="shared" si="7"/>
        <v>662274.450000023</v>
      </c>
      <c r="F457" s="174"/>
      <c r="G457" s="174"/>
      <c r="H457" s="174"/>
      <c r="I457" s="174"/>
      <c r="J457" s="174"/>
      <c r="K457" s="178"/>
      <c r="L457" s="66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3.5" customHeight="1" x14ac:dyDescent="0.25">
      <c r="A458" s="175"/>
      <c r="B458" s="170"/>
      <c r="C458" s="210"/>
      <c r="D458" s="170"/>
      <c r="E458" s="176">
        <f t="shared" si="7"/>
        <v>662274.450000023</v>
      </c>
      <c r="F458" s="174"/>
      <c r="G458" s="174"/>
      <c r="H458" s="174"/>
      <c r="I458" s="174"/>
      <c r="J458" s="174"/>
      <c r="K458" s="178"/>
      <c r="L458" s="66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3.5" customHeight="1" x14ac:dyDescent="0.25">
      <c r="A459" s="175"/>
      <c r="B459" s="170"/>
      <c r="C459" s="210"/>
      <c r="D459" s="170"/>
      <c r="E459" s="176">
        <f t="shared" si="7"/>
        <v>662274.450000023</v>
      </c>
      <c r="F459" s="204"/>
      <c r="G459" s="181"/>
      <c r="H459" s="205"/>
      <c r="I459" s="181"/>
      <c r="J459" s="206"/>
      <c r="K459" s="178"/>
      <c r="L459" s="66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3.5" customHeight="1" x14ac:dyDescent="0.25">
      <c r="A460" s="175"/>
      <c r="B460" s="170"/>
      <c r="C460" s="210"/>
      <c r="D460" s="170"/>
      <c r="E460" s="176">
        <f t="shared" si="7"/>
        <v>662274.450000023</v>
      </c>
      <c r="F460" s="174"/>
      <c r="G460" s="174"/>
      <c r="H460" s="174"/>
      <c r="I460" s="174"/>
      <c r="J460" s="174"/>
      <c r="K460" s="178"/>
      <c r="L460" s="66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3.5" customHeight="1" x14ac:dyDescent="0.25">
      <c r="A461" s="175"/>
      <c r="B461" s="170"/>
      <c r="C461" s="210"/>
      <c r="D461" s="170"/>
      <c r="E461" s="176">
        <f t="shared" si="7"/>
        <v>662274.450000023</v>
      </c>
      <c r="F461" s="174"/>
      <c r="G461" s="174"/>
      <c r="H461" s="174"/>
      <c r="I461" s="174"/>
      <c r="J461" s="174"/>
      <c r="K461" s="178"/>
      <c r="L461" s="66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3.5" customHeight="1" x14ac:dyDescent="0.25">
      <c r="A462" s="175"/>
      <c r="B462" s="170"/>
      <c r="C462" s="210"/>
      <c r="D462" s="170"/>
      <c r="E462" s="176">
        <f t="shared" si="7"/>
        <v>662274.450000023</v>
      </c>
      <c r="F462" s="174"/>
      <c r="G462" s="174"/>
      <c r="H462" s="174"/>
      <c r="I462" s="174"/>
      <c r="J462" s="174"/>
      <c r="K462" s="178"/>
      <c r="L462" s="66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3.5" customHeight="1" x14ac:dyDescent="0.25">
      <c r="A463" s="175"/>
      <c r="B463" s="170"/>
      <c r="C463" s="210"/>
      <c r="D463" s="170"/>
      <c r="E463" s="176">
        <f t="shared" si="7"/>
        <v>662274.450000023</v>
      </c>
      <c r="F463" s="173"/>
      <c r="G463" s="199"/>
      <c r="H463" s="192"/>
      <c r="I463" s="197"/>
      <c r="J463" s="174"/>
      <c r="K463" s="178"/>
      <c r="L463" s="66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3.5" customHeight="1" x14ac:dyDescent="0.25">
      <c r="A464" s="175"/>
      <c r="B464" s="170"/>
      <c r="C464" s="210"/>
      <c r="D464" s="170"/>
      <c r="E464" s="176">
        <f t="shared" si="7"/>
        <v>662274.450000023</v>
      </c>
      <c r="F464" s="174"/>
      <c r="G464" s="174"/>
      <c r="H464" s="174"/>
      <c r="I464" s="174"/>
      <c r="J464" s="174"/>
      <c r="K464" s="178"/>
      <c r="L464" s="66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3.5" customHeight="1" x14ac:dyDescent="0.25">
      <c r="A465" s="175"/>
      <c r="B465" s="170"/>
      <c r="C465" s="210"/>
      <c r="D465" s="170"/>
      <c r="E465" s="176">
        <f t="shared" si="7"/>
        <v>662274.450000023</v>
      </c>
      <c r="F465" s="174"/>
      <c r="G465" s="174"/>
      <c r="H465" s="174"/>
      <c r="I465" s="174"/>
      <c r="J465" s="174"/>
      <c r="K465" s="178"/>
      <c r="L465" s="66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3.5" customHeight="1" x14ac:dyDescent="0.25">
      <c r="A466" s="175"/>
      <c r="B466" s="170"/>
      <c r="C466" s="210"/>
      <c r="D466" s="170"/>
      <c r="E466" s="176">
        <f t="shared" si="7"/>
        <v>662274.450000023</v>
      </c>
      <c r="F466" s="174"/>
      <c r="G466" s="174"/>
      <c r="H466" s="174"/>
      <c r="I466" s="174"/>
      <c r="J466" s="174"/>
      <c r="K466" s="178"/>
      <c r="L466" s="66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3.5" customHeight="1" x14ac:dyDescent="0.25">
      <c r="A467" s="175"/>
      <c r="B467" s="170"/>
      <c r="C467" s="210"/>
      <c r="D467" s="170"/>
      <c r="E467" s="176">
        <f t="shared" si="7"/>
        <v>662274.450000023</v>
      </c>
      <c r="F467" s="174"/>
      <c r="G467" s="174"/>
      <c r="H467" s="174"/>
      <c r="I467" s="174"/>
      <c r="J467" s="174"/>
      <c r="K467" s="178"/>
      <c r="L467" s="66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3.5" customHeight="1" x14ac:dyDescent="0.25">
      <c r="A468" s="175"/>
      <c r="B468" s="170"/>
      <c r="C468" s="210"/>
      <c r="D468" s="170"/>
      <c r="E468" s="176">
        <f t="shared" si="7"/>
        <v>662274.450000023</v>
      </c>
      <c r="F468" s="174"/>
      <c r="G468" s="174"/>
      <c r="H468" s="174"/>
      <c r="I468" s="174"/>
      <c r="J468" s="174"/>
      <c r="K468" s="178"/>
      <c r="L468" s="66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3.5" customHeight="1" x14ac:dyDescent="0.25">
      <c r="A469" s="175"/>
      <c r="B469" s="170"/>
      <c r="C469" s="210"/>
      <c r="D469" s="170"/>
      <c r="E469" s="176">
        <f t="shared" si="7"/>
        <v>662274.450000023</v>
      </c>
      <c r="F469" s="174"/>
      <c r="G469" s="174"/>
      <c r="H469" s="174"/>
      <c r="I469" s="174"/>
      <c r="J469" s="174"/>
      <c r="K469" s="178"/>
      <c r="L469" s="66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3.5" customHeight="1" x14ac:dyDescent="0.25">
      <c r="A470" s="175"/>
      <c r="B470" s="170"/>
      <c r="C470" s="210"/>
      <c r="D470" s="170"/>
      <c r="E470" s="176">
        <f t="shared" si="7"/>
        <v>662274.450000023</v>
      </c>
      <c r="F470" s="215"/>
      <c r="G470" s="174"/>
      <c r="H470" s="174"/>
      <c r="I470" s="174"/>
      <c r="J470" s="174"/>
      <c r="K470" s="178"/>
      <c r="L470" s="66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3.5" customHeight="1" x14ac:dyDescent="0.25">
      <c r="A471" s="175"/>
      <c r="B471" s="170"/>
      <c r="C471" s="210"/>
      <c r="D471" s="170"/>
      <c r="E471" s="176">
        <f t="shared" si="7"/>
        <v>662274.450000023</v>
      </c>
      <c r="F471" s="174"/>
      <c r="G471" s="174"/>
      <c r="H471" s="174"/>
      <c r="I471" s="174"/>
      <c r="J471" s="174"/>
      <c r="K471" s="178"/>
      <c r="L471" s="66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3.5" customHeight="1" x14ac:dyDescent="0.25">
      <c r="A472" s="175"/>
      <c r="B472" s="170"/>
      <c r="C472" s="210"/>
      <c r="D472" s="170"/>
      <c r="E472" s="176">
        <f t="shared" si="7"/>
        <v>662274.450000023</v>
      </c>
      <c r="F472" s="174"/>
      <c r="G472" s="174"/>
      <c r="H472" s="174"/>
      <c r="I472" s="174"/>
      <c r="J472" s="174"/>
      <c r="K472" s="178"/>
      <c r="L472" s="66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3.5" customHeight="1" x14ac:dyDescent="0.25">
      <c r="A473" s="175"/>
      <c r="B473" s="170"/>
      <c r="C473" s="210"/>
      <c r="D473" s="170"/>
      <c r="E473" s="176">
        <f t="shared" si="7"/>
        <v>662274.450000023</v>
      </c>
      <c r="F473" s="174"/>
      <c r="G473" s="174"/>
      <c r="H473" s="174"/>
      <c r="I473" s="174"/>
      <c r="J473" s="174"/>
      <c r="K473" s="178"/>
      <c r="L473" s="66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3.5" customHeight="1" x14ac:dyDescent="0.25">
      <c r="A474" s="175"/>
      <c r="B474" s="170"/>
      <c r="C474" s="210"/>
      <c r="D474" s="170"/>
      <c r="E474" s="176">
        <f t="shared" si="7"/>
        <v>662274.450000023</v>
      </c>
      <c r="F474" s="174"/>
      <c r="G474" s="174"/>
      <c r="H474" s="174"/>
      <c r="I474" s="174"/>
      <c r="J474" s="174"/>
      <c r="K474" s="178"/>
      <c r="L474" s="66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3.5" customHeight="1" x14ac:dyDescent="0.25">
      <c r="A475" s="175"/>
      <c r="B475" s="170"/>
      <c r="C475" s="210"/>
      <c r="D475" s="170"/>
      <c r="E475" s="176">
        <f t="shared" si="7"/>
        <v>662274.450000023</v>
      </c>
      <c r="F475" s="174"/>
      <c r="G475" s="174"/>
      <c r="H475" s="174"/>
      <c r="I475" s="174"/>
      <c r="J475" s="174"/>
      <c r="K475" s="178"/>
      <c r="L475" s="66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3.5" customHeight="1" x14ac:dyDescent="0.25">
      <c r="A476" s="175"/>
      <c r="B476" s="170"/>
      <c r="C476" s="210"/>
      <c r="D476" s="170"/>
      <c r="E476" s="176">
        <f t="shared" si="7"/>
        <v>662274.450000023</v>
      </c>
      <c r="F476" s="204"/>
      <c r="G476" s="181"/>
      <c r="H476" s="205"/>
      <c r="I476" s="181"/>
      <c r="J476" s="206"/>
      <c r="K476" s="178"/>
      <c r="L476" s="66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3.5" customHeight="1" x14ac:dyDescent="0.25">
      <c r="A477" s="175"/>
      <c r="B477" s="170"/>
      <c r="C477" s="210"/>
      <c r="D477" s="170"/>
      <c r="E477" s="176">
        <f t="shared" si="7"/>
        <v>662274.450000023</v>
      </c>
      <c r="F477" s="173"/>
      <c r="G477" s="199"/>
      <c r="H477" s="192"/>
      <c r="I477" s="197"/>
      <c r="J477" s="174"/>
      <c r="K477" s="178"/>
      <c r="L477" s="66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3.5" customHeight="1" x14ac:dyDescent="0.25">
      <c r="A478" s="175"/>
      <c r="B478" s="170"/>
      <c r="C478" s="210"/>
      <c r="D478" s="170"/>
      <c r="E478" s="176">
        <f t="shared" si="7"/>
        <v>662274.450000023</v>
      </c>
      <c r="F478" s="174"/>
      <c r="G478" s="174"/>
      <c r="H478" s="174"/>
      <c r="I478" s="174"/>
      <c r="J478" s="174"/>
      <c r="K478" s="178"/>
      <c r="L478" s="66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3.5" customHeight="1" x14ac:dyDescent="0.25">
      <c r="A479" s="175"/>
      <c r="B479" s="170"/>
      <c r="C479" s="210"/>
      <c r="D479" s="170"/>
      <c r="E479" s="176">
        <f t="shared" si="7"/>
        <v>662274.450000023</v>
      </c>
      <c r="F479" s="174"/>
      <c r="G479" s="174"/>
      <c r="H479" s="174"/>
      <c r="I479" s="174"/>
      <c r="J479" s="174"/>
      <c r="K479" s="178"/>
      <c r="L479" s="66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3.5" customHeight="1" x14ac:dyDescent="0.25">
      <c r="A480" s="175"/>
      <c r="B480" s="170"/>
      <c r="C480" s="210"/>
      <c r="D480" s="170"/>
      <c r="E480" s="176">
        <f t="shared" si="7"/>
        <v>662274.450000023</v>
      </c>
      <c r="F480" s="174"/>
      <c r="G480" s="174"/>
      <c r="H480" s="174"/>
      <c r="I480" s="174"/>
      <c r="J480" s="174"/>
      <c r="K480" s="178"/>
      <c r="L480" s="66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3.5" customHeight="1" x14ac:dyDescent="0.25">
      <c r="A481" s="175"/>
      <c r="B481" s="170"/>
      <c r="C481" s="210"/>
      <c r="D481" s="170"/>
      <c r="E481" s="176">
        <f t="shared" si="7"/>
        <v>662274.450000023</v>
      </c>
      <c r="F481" s="174"/>
      <c r="G481" s="174"/>
      <c r="H481" s="174"/>
      <c r="I481" s="174"/>
      <c r="J481" s="174"/>
      <c r="K481" s="178"/>
      <c r="L481" s="66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3.5" customHeight="1" x14ac:dyDescent="0.25">
      <c r="A482" s="175"/>
      <c r="B482" s="170"/>
      <c r="C482" s="210"/>
      <c r="D482" s="170"/>
      <c r="E482" s="176">
        <f t="shared" si="7"/>
        <v>662274.450000023</v>
      </c>
      <c r="F482" s="174"/>
      <c r="G482" s="174"/>
      <c r="H482" s="174"/>
      <c r="I482" s="174"/>
      <c r="J482" s="174"/>
      <c r="K482" s="178"/>
      <c r="L482" s="66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3.5" customHeight="1" x14ac:dyDescent="0.25">
      <c r="A483" s="175"/>
      <c r="B483" s="170"/>
      <c r="C483" s="210"/>
      <c r="D483" s="170"/>
      <c r="E483" s="176">
        <f t="shared" si="7"/>
        <v>662274.450000023</v>
      </c>
      <c r="F483" s="174"/>
      <c r="G483" s="174"/>
      <c r="H483" s="174"/>
      <c r="I483" s="174"/>
      <c r="J483" s="174"/>
      <c r="K483" s="178"/>
      <c r="L483" s="66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3.5" customHeight="1" x14ac:dyDescent="0.25">
      <c r="A484" s="175"/>
      <c r="B484" s="170"/>
      <c r="C484" s="210"/>
      <c r="D484" s="170"/>
      <c r="E484" s="176">
        <f t="shared" si="7"/>
        <v>662274.450000023</v>
      </c>
      <c r="F484" s="174"/>
      <c r="G484" s="174"/>
      <c r="H484" s="174"/>
      <c r="I484" s="174"/>
      <c r="J484" s="174"/>
      <c r="K484" s="178"/>
      <c r="L484" s="66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3.5" customHeight="1" x14ac:dyDescent="0.25">
      <c r="A485" s="175"/>
      <c r="B485" s="170"/>
      <c r="C485" s="210"/>
      <c r="D485" s="170"/>
      <c r="E485" s="176">
        <f t="shared" si="7"/>
        <v>662274.450000023</v>
      </c>
      <c r="F485" s="174"/>
      <c r="G485" s="174"/>
      <c r="H485" s="174"/>
      <c r="I485" s="174"/>
      <c r="J485" s="174"/>
      <c r="K485" s="178"/>
      <c r="L485" s="66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3.5" customHeight="1" x14ac:dyDescent="0.25">
      <c r="A486" s="175"/>
      <c r="B486" s="170"/>
      <c r="C486" s="210"/>
      <c r="D486" s="170"/>
      <c r="E486" s="176">
        <f t="shared" si="7"/>
        <v>662274.450000023</v>
      </c>
      <c r="F486" s="174"/>
      <c r="G486" s="174"/>
      <c r="H486" s="174"/>
      <c r="I486" s="174"/>
      <c r="J486" s="174"/>
      <c r="K486" s="178"/>
      <c r="L486" s="66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3.5" customHeight="1" x14ac:dyDescent="0.25">
      <c r="A487" s="175"/>
      <c r="B487" s="170"/>
      <c r="C487" s="210"/>
      <c r="D487" s="170"/>
      <c r="E487" s="176">
        <f t="shared" si="7"/>
        <v>662274.450000023</v>
      </c>
      <c r="F487" s="174"/>
      <c r="G487" s="174"/>
      <c r="H487" s="174"/>
      <c r="I487" s="174"/>
      <c r="J487" s="174"/>
      <c r="K487" s="178"/>
      <c r="L487" s="66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3.5" customHeight="1" x14ac:dyDescent="0.25">
      <c r="A488" s="175"/>
      <c r="B488" s="170"/>
      <c r="C488" s="210"/>
      <c r="D488" s="170"/>
      <c r="E488" s="176">
        <f t="shared" si="7"/>
        <v>662274.450000023</v>
      </c>
      <c r="F488" s="174"/>
      <c r="G488" s="174"/>
      <c r="H488" s="174"/>
      <c r="I488" s="174"/>
      <c r="J488" s="174"/>
      <c r="K488" s="178"/>
      <c r="L488" s="66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3.5" customHeight="1" x14ac:dyDescent="0.25">
      <c r="A489" s="175"/>
      <c r="B489" s="170"/>
      <c r="C489" s="210"/>
      <c r="D489" s="170"/>
      <c r="E489" s="176">
        <f t="shared" si="7"/>
        <v>662274.450000023</v>
      </c>
      <c r="F489" s="174"/>
      <c r="G489" s="174"/>
      <c r="H489" s="174"/>
      <c r="I489" s="174"/>
      <c r="J489" s="174"/>
      <c r="K489" s="178"/>
      <c r="L489" s="66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3.5" customHeight="1" x14ac:dyDescent="0.25">
      <c r="A490" s="175"/>
      <c r="B490" s="170"/>
      <c r="C490" s="210"/>
      <c r="D490" s="170"/>
      <c r="E490" s="176">
        <f t="shared" si="7"/>
        <v>662274.450000023</v>
      </c>
      <c r="F490" s="174"/>
      <c r="G490" s="174"/>
      <c r="H490" s="174"/>
      <c r="I490" s="174"/>
      <c r="J490" s="174"/>
      <c r="K490" s="178"/>
      <c r="L490" s="66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3.5" customHeight="1" x14ac:dyDescent="0.25">
      <c r="A491" s="175"/>
      <c r="B491" s="170"/>
      <c r="C491" s="210"/>
      <c r="D491" s="170"/>
      <c r="E491" s="176">
        <f t="shared" si="7"/>
        <v>662274.450000023</v>
      </c>
      <c r="F491" s="174"/>
      <c r="G491" s="174"/>
      <c r="H491" s="174"/>
      <c r="I491" s="174"/>
      <c r="J491" s="174"/>
      <c r="K491" s="178"/>
      <c r="L491" s="66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3.5" customHeight="1" x14ac:dyDescent="0.25">
      <c r="A492" s="175"/>
      <c r="B492" s="170"/>
      <c r="C492" s="210"/>
      <c r="D492" s="170"/>
      <c r="E492" s="176">
        <f t="shared" si="7"/>
        <v>662274.450000023</v>
      </c>
      <c r="F492" s="174"/>
      <c r="G492" s="174"/>
      <c r="H492" s="174"/>
      <c r="I492" s="174"/>
      <c r="J492" s="174"/>
      <c r="K492" s="178"/>
      <c r="L492" s="66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3.5" customHeight="1" x14ac:dyDescent="0.25">
      <c r="A493" s="175"/>
      <c r="B493" s="170"/>
      <c r="C493" s="210"/>
      <c r="D493" s="170"/>
      <c r="E493" s="176">
        <f t="shared" si="7"/>
        <v>662274.450000023</v>
      </c>
      <c r="F493" s="174"/>
      <c r="G493" s="174"/>
      <c r="H493" s="174"/>
      <c r="I493" s="174"/>
      <c r="J493" s="174"/>
      <c r="K493" s="178"/>
      <c r="L493" s="66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3.5" customHeight="1" x14ac:dyDescent="0.25">
      <c r="A494" s="175"/>
      <c r="B494" s="170"/>
      <c r="C494" s="210"/>
      <c r="D494" s="170"/>
      <c r="E494" s="176">
        <f t="shared" si="7"/>
        <v>662274.450000023</v>
      </c>
      <c r="F494" s="174"/>
      <c r="G494" s="174"/>
      <c r="H494" s="174"/>
      <c r="I494" s="174"/>
      <c r="J494" s="174"/>
      <c r="K494" s="178"/>
      <c r="L494" s="66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3.5" customHeight="1" x14ac:dyDescent="0.25">
      <c r="A495" s="175"/>
      <c r="B495" s="170"/>
      <c r="C495" s="210"/>
      <c r="D495" s="170"/>
      <c r="E495" s="176">
        <f t="shared" si="7"/>
        <v>662274.450000023</v>
      </c>
      <c r="F495" s="204"/>
      <c r="G495" s="181"/>
      <c r="H495" s="205"/>
      <c r="I495" s="181"/>
      <c r="J495" s="206"/>
      <c r="K495" s="178"/>
      <c r="L495" s="66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3.5" customHeight="1" x14ac:dyDescent="0.25">
      <c r="A496" s="175"/>
      <c r="B496" s="170"/>
      <c r="C496" s="210"/>
      <c r="D496" s="170"/>
      <c r="E496" s="176">
        <f t="shared" si="7"/>
        <v>662274.450000023</v>
      </c>
      <c r="F496" s="174"/>
      <c r="G496" s="174"/>
      <c r="H496" s="174"/>
      <c r="I496" s="174"/>
      <c r="J496" s="174"/>
      <c r="K496" s="178"/>
      <c r="L496" s="66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3.5" customHeight="1" x14ac:dyDescent="0.25">
      <c r="A497" s="175"/>
      <c r="B497" s="170"/>
      <c r="C497" s="210"/>
      <c r="D497" s="170"/>
      <c r="E497" s="176">
        <f t="shared" si="7"/>
        <v>662274.450000023</v>
      </c>
      <c r="F497" s="174"/>
      <c r="G497" s="174"/>
      <c r="H497" s="174"/>
      <c r="I497" s="174"/>
      <c r="J497" s="174"/>
      <c r="K497" s="178"/>
      <c r="L497" s="66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3.5" customHeight="1" x14ac:dyDescent="0.25">
      <c r="A498" s="175"/>
      <c r="B498" s="170"/>
      <c r="C498" s="210"/>
      <c r="D498" s="170"/>
      <c r="E498" s="176">
        <f t="shared" si="7"/>
        <v>662274.450000023</v>
      </c>
      <c r="F498" s="174"/>
      <c r="G498" s="174"/>
      <c r="H498" s="174"/>
      <c r="I498" s="174"/>
      <c r="J498" s="174"/>
      <c r="K498" s="178"/>
      <c r="L498" s="66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3.5" customHeight="1" x14ac:dyDescent="0.25">
      <c r="A499" s="175"/>
      <c r="B499" s="170"/>
      <c r="C499" s="210"/>
      <c r="D499" s="170"/>
      <c r="E499" s="176">
        <f t="shared" si="7"/>
        <v>662274.450000023</v>
      </c>
      <c r="F499" s="174"/>
      <c r="G499" s="174"/>
      <c r="H499" s="174"/>
      <c r="I499" s="174"/>
      <c r="J499" s="174"/>
      <c r="K499" s="178"/>
      <c r="L499" s="66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3.5" customHeight="1" x14ac:dyDescent="0.25">
      <c r="A500" s="175"/>
      <c r="B500" s="170"/>
      <c r="C500" s="210"/>
      <c r="D500" s="170"/>
      <c r="E500" s="176">
        <f t="shared" si="7"/>
        <v>662274.450000023</v>
      </c>
      <c r="F500" s="173"/>
      <c r="G500" s="199"/>
      <c r="H500" s="192"/>
      <c r="I500" s="197"/>
      <c r="J500" s="174"/>
      <c r="K500" s="178"/>
      <c r="L500" s="66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3.5" customHeight="1" x14ac:dyDescent="0.25">
      <c r="A501" s="175"/>
      <c r="B501" s="170"/>
      <c r="C501" s="210"/>
      <c r="D501" s="170"/>
      <c r="E501" s="176">
        <f t="shared" si="7"/>
        <v>662274.450000023</v>
      </c>
      <c r="F501" s="174"/>
      <c r="G501" s="174"/>
      <c r="H501" s="174"/>
      <c r="I501" s="174"/>
      <c r="J501" s="174"/>
      <c r="K501" s="178"/>
      <c r="L501" s="66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3.5" customHeight="1" x14ac:dyDescent="0.25">
      <c r="A502" s="175"/>
      <c r="B502" s="170"/>
      <c r="C502" s="210"/>
      <c r="D502" s="170"/>
      <c r="E502" s="176">
        <f t="shared" si="7"/>
        <v>662274.450000023</v>
      </c>
      <c r="F502" s="174"/>
      <c r="G502" s="174"/>
      <c r="H502" s="174"/>
      <c r="I502" s="174"/>
      <c r="J502" s="174"/>
      <c r="K502" s="178"/>
      <c r="L502" s="66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3.5" customHeight="1" x14ac:dyDescent="0.25">
      <c r="A503" s="175"/>
      <c r="B503" s="170"/>
      <c r="C503" s="210"/>
      <c r="D503" s="170"/>
      <c r="E503" s="176">
        <f t="shared" si="7"/>
        <v>662274.450000023</v>
      </c>
      <c r="F503" s="174"/>
      <c r="G503" s="174"/>
      <c r="H503" s="174"/>
      <c r="I503" s="174"/>
      <c r="J503" s="174"/>
      <c r="K503" s="178"/>
      <c r="L503" s="66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3.5" customHeight="1" x14ac:dyDescent="0.25">
      <c r="A504" s="175"/>
      <c r="B504" s="170"/>
      <c r="C504" s="210"/>
      <c r="D504" s="170"/>
      <c r="E504" s="176">
        <f t="shared" si="7"/>
        <v>662274.450000023</v>
      </c>
      <c r="F504" s="173"/>
      <c r="G504" s="174"/>
      <c r="H504" s="177"/>
      <c r="I504" s="197"/>
      <c r="J504" s="174"/>
      <c r="K504" s="178"/>
      <c r="L504" s="66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3.5" customHeight="1" x14ac:dyDescent="0.25">
      <c r="A505" s="175"/>
      <c r="B505" s="170"/>
      <c r="C505" s="210"/>
      <c r="D505" s="170"/>
      <c r="E505" s="176">
        <f t="shared" si="7"/>
        <v>662274.450000023</v>
      </c>
      <c r="F505" s="173"/>
      <c r="G505" s="174"/>
      <c r="H505" s="177"/>
      <c r="I505" s="197"/>
      <c r="J505" s="174"/>
      <c r="K505" s="178"/>
      <c r="L505" s="66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3.5" customHeight="1" x14ac:dyDescent="0.25">
      <c r="A506" s="175"/>
      <c r="B506" s="170"/>
      <c r="C506" s="210"/>
      <c r="D506" s="170"/>
      <c r="E506" s="176">
        <f t="shared" si="7"/>
        <v>662274.450000023</v>
      </c>
      <c r="F506" s="174"/>
      <c r="G506" s="174"/>
      <c r="H506" s="174"/>
      <c r="I506" s="174"/>
      <c r="J506" s="174"/>
      <c r="K506" s="178"/>
      <c r="L506" s="66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3.5" customHeight="1" x14ac:dyDescent="0.25">
      <c r="A507" s="175"/>
      <c r="B507" s="170"/>
      <c r="C507" s="210"/>
      <c r="D507" s="170"/>
      <c r="E507" s="176">
        <f t="shared" si="7"/>
        <v>662274.450000023</v>
      </c>
      <c r="F507" s="173"/>
      <c r="G507" s="174"/>
      <c r="H507" s="177"/>
      <c r="I507" s="197"/>
      <c r="J507" s="174"/>
      <c r="K507" s="178"/>
      <c r="L507" s="66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3.5" customHeight="1" x14ac:dyDescent="0.25">
      <c r="A508" s="175"/>
      <c r="B508" s="170"/>
      <c r="C508" s="210"/>
      <c r="D508" s="170"/>
      <c r="E508" s="176">
        <f t="shared" si="7"/>
        <v>662274.450000023</v>
      </c>
      <c r="F508" s="174"/>
      <c r="G508" s="174"/>
      <c r="H508" s="174"/>
      <c r="I508" s="174"/>
      <c r="J508" s="174"/>
      <c r="K508" s="178"/>
      <c r="L508" s="66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3.5" customHeight="1" x14ac:dyDescent="0.25">
      <c r="A509" s="175"/>
      <c r="B509" s="170"/>
      <c r="C509" s="210"/>
      <c r="D509" s="170"/>
      <c r="E509" s="176">
        <f t="shared" si="7"/>
        <v>662274.450000023</v>
      </c>
      <c r="F509" s="174"/>
      <c r="G509" s="174"/>
      <c r="H509" s="174"/>
      <c r="I509" s="174"/>
      <c r="J509" s="174"/>
      <c r="K509" s="178"/>
      <c r="L509" s="66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3.5" customHeight="1" x14ac:dyDescent="0.25">
      <c r="A510" s="175"/>
      <c r="B510" s="170"/>
      <c r="C510" s="210"/>
      <c r="D510" s="170"/>
      <c r="E510" s="176">
        <f t="shared" si="7"/>
        <v>662274.450000023</v>
      </c>
      <c r="F510" s="174"/>
      <c r="G510" s="174"/>
      <c r="H510" s="174"/>
      <c r="I510" s="174"/>
      <c r="J510" s="174"/>
      <c r="K510" s="178"/>
      <c r="L510" s="66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3.5" customHeight="1" x14ac:dyDescent="0.25">
      <c r="A511" s="175"/>
      <c r="B511" s="170"/>
      <c r="C511" s="210"/>
      <c r="D511" s="170"/>
      <c r="E511" s="176">
        <f t="shared" si="7"/>
        <v>662274.450000023</v>
      </c>
      <c r="F511" s="174"/>
      <c r="G511" s="174"/>
      <c r="H511" s="174"/>
      <c r="I511" s="174"/>
      <c r="J511" s="174"/>
      <c r="K511" s="178"/>
      <c r="L511" s="66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3.5" customHeight="1" x14ac:dyDescent="0.25">
      <c r="A512" s="175"/>
      <c r="B512" s="170"/>
      <c r="C512" s="210"/>
      <c r="D512" s="170"/>
      <c r="E512" s="176">
        <f t="shared" si="7"/>
        <v>662274.450000023</v>
      </c>
      <c r="F512" s="174"/>
      <c r="G512" s="174"/>
      <c r="H512" s="174"/>
      <c r="I512" s="174"/>
      <c r="J512" s="174"/>
      <c r="K512" s="178"/>
      <c r="L512" s="66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3.5" customHeight="1" x14ac:dyDescent="0.25">
      <c r="A513" s="175"/>
      <c r="B513" s="170"/>
      <c r="C513" s="210"/>
      <c r="D513" s="170"/>
      <c r="E513" s="176">
        <f t="shared" si="7"/>
        <v>662274.450000023</v>
      </c>
      <c r="F513" s="174"/>
      <c r="G513" s="174"/>
      <c r="H513" s="174"/>
      <c r="I513" s="174"/>
      <c r="J513" s="174"/>
      <c r="K513" s="178"/>
      <c r="L513" s="66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3.5" customHeight="1" x14ac:dyDescent="0.25">
      <c r="A514" s="175"/>
      <c r="B514" s="170"/>
      <c r="C514" s="210"/>
      <c r="D514" s="170"/>
      <c r="E514" s="176">
        <f t="shared" si="7"/>
        <v>662274.450000023</v>
      </c>
      <c r="F514" s="174"/>
      <c r="G514" s="174"/>
      <c r="H514" s="174"/>
      <c r="I514" s="174"/>
      <c r="J514" s="174"/>
      <c r="K514" s="178"/>
      <c r="L514" s="66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3.5" customHeight="1" x14ac:dyDescent="0.25">
      <c r="A515" s="175"/>
      <c r="B515" s="170"/>
      <c r="C515" s="210"/>
      <c r="D515" s="170"/>
      <c r="E515" s="176">
        <f t="shared" si="7"/>
        <v>662274.450000023</v>
      </c>
      <c r="F515" s="174"/>
      <c r="G515" s="174"/>
      <c r="H515" s="174"/>
      <c r="I515" s="174"/>
      <c r="J515" s="174"/>
      <c r="K515" s="178"/>
      <c r="L515" s="66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3.5" customHeight="1" x14ac:dyDescent="0.25">
      <c r="A516" s="175"/>
      <c r="B516" s="170"/>
      <c r="C516" s="210"/>
      <c r="D516" s="170"/>
      <c r="E516" s="176">
        <f t="shared" si="7"/>
        <v>662274.450000023</v>
      </c>
      <c r="F516" s="174"/>
      <c r="G516" s="174"/>
      <c r="H516" s="174"/>
      <c r="I516" s="174"/>
      <c r="J516" s="174"/>
      <c r="K516" s="178"/>
      <c r="L516" s="66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3.5" customHeight="1" x14ac:dyDescent="0.25">
      <c r="A517" s="175"/>
      <c r="B517" s="170"/>
      <c r="C517" s="210"/>
      <c r="D517" s="170"/>
      <c r="E517" s="176">
        <f t="shared" si="7"/>
        <v>662274.450000023</v>
      </c>
      <c r="F517" s="174"/>
      <c r="G517" s="174"/>
      <c r="H517" s="174"/>
      <c r="I517" s="174"/>
      <c r="J517" s="174"/>
      <c r="K517" s="178"/>
      <c r="L517" s="66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3.5" customHeight="1" x14ac:dyDescent="0.25">
      <c r="A518" s="175"/>
      <c r="B518" s="170"/>
      <c r="C518" s="210"/>
      <c r="D518" s="170"/>
      <c r="E518" s="176">
        <f t="shared" si="7"/>
        <v>662274.450000023</v>
      </c>
      <c r="F518" s="174"/>
      <c r="G518" s="174"/>
      <c r="H518" s="174"/>
      <c r="I518" s="174"/>
      <c r="J518" s="174"/>
      <c r="K518" s="178"/>
      <c r="L518" s="66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3.5" customHeight="1" x14ac:dyDescent="0.25">
      <c r="A519" s="175"/>
      <c r="B519" s="170"/>
      <c r="C519" s="210"/>
      <c r="D519" s="170"/>
      <c r="E519" s="176">
        <f t="shared" si="7"/>
        <v>662274.450000023</v>
      </c>
      <c r="F519" s="174"/>
      <c r="G519" s="174"/>
      <c r="H519" s="174"/>
      <c r="I519" s="174"/>
      <c r="J519" s="174"/>
      <c r="K519" s="178"/>
      <c r="L519" s="66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3.5" customHeight="1" x14ac:dyDescent="0.25">
      <c r="A520" s="175"/>
      <c r="B520" s="170"/>
      <c r="C520" s="210"/>
      <c r="D520" s="170"/>
      <c r="E520" s="176">
        <f t="shared" ref="E520:E583" si="8">E519-C520+D520</f>
        <v>662274.450000023</v>
      </c>
      <c r="F520" s="174"/>
      <c r="G520" s="174"/>
      <c r="H520" s="174"/>
      <c r="I520" s="174"/>
      <c r="J520" s="174"/>
      <c r="K520" s="178"/>
      <c r="L520" s="66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3.5" customHeight="1" x14ac:dyDescent="0.25">
      <c r="A521" s="175"/>
      <c r="B521" s="170"/>
      <c r="C521" s="210"/>
      <c r="D521" s="170"/>
      <c r="E521" s="176">
        <f t="shared" si="8"/>
        <v>662274.450000023</v>
      </c>
      <c r="F521" s="174"/>
      <c r="G521" s="174"/>
      <c r="H521" s="174"/>
      <c r="I521" s="174"/>
      <c r="J521" s="174"/>
      <c r="K521" s="178"/>
      <c r="L521" s="66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3.5" customHeight="1" x14ac:dyDescent="0.25">
      <c r="A522" s="175"/>
      <c r="B522" s="170"/>
      <c r="C522" s="210"/>
      <c r="D522" s="170"/>
      <c r="E522" s="176">
        <f t="shared" si="8"/>
        <v>662274.450000023</v>
      </c>
      <c r="F522" s="174"/>
      <c r="G522" s="174"/>
      <c r="H522" s="174"/>
      <c r="I522" s="174"/>
      <c r="J522" s="174"/>
      <c r="K522" s="178"/>
      <c r="L522" s="66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3.5" customHeight="1" x14ac:dyDescent="0.25">
      <c r="A523" s="175"/>
      <c r="B523" s="170"/>
      <c r="C523" s="210"/>
      <c r="D523" s="170"/>
      <c r="E523" s="176">
        <f t="shared" si="8"/>
        <v>662274.450000023</v>
      </c>
      <c r="F523" s="174"/>
      <c r="G523" s="174"/>
      <c r="H523" s="174"/>
      <c r="I523" s="174"/>
      <c r="J523" s="174"/>
      <c r="K523" s="178"/>
      <c r="L523" s="66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3.5" customHeight="1" x14ac:dyDescent="0.25">
      <c r="A524" s="175"/>
      <c r="B524" s="170"/>
      <c r="C524" s="210"/>
      <c r="D524" s="170"/>
      <c r="E524" s="176">
        <f t="shared" si="8"/>
        <v>662274.450000023</v>
      </c>
      <c r="F524" s="174"/>
      <c r="G524" s="174"/>
      <c r="H524" s="174"/>
      <c r="I524" s="174"/>
      <c r="J524" s="174"/>
      <c r="K524" s="178"/>
      <c r="L524" s="66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3.5" customHeight="1" x14ac:dyDescent="0.25">
      <c r="A525" s="175"/>
      <c r="B525" s="170"/>
      <c r="C525" s="210"/>
      <c r="D525" s="170"/>
      <c r="E525" s="176">
        <f t="shared" si="8"/>
        <v>662274.450000023</v>
      </c>
      <c r="F525" s="174"/>
      <c r="G525" s="174"/>
      <c r="H525" s="174"/>
      <c r="I525" s="174"/>
      <c r="J525" s="174"/>
      <c r="K525" s="178"/>
      <c r="L525" s="66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3.5" customHeight="1" x14ac:dyDescent="0.25">
      <c r="A526" s="175"/>
      <c r="B526" s="170"/>
      <c r="C526" s="210"/>
      <c r="D526" s="170"/>
      <c r="E526" s="176">
        <f t="shared" si="8"/>
        <v>662274.450000023</v>
      </c>
      <c r="F526" s="174"/>
      <c r="G526" s="174"/>
      <c r="H526" s="174"/>
      <c r="I526" s="174"/>
      <c r="J526" s="174"/>
      <c r="K526" s="178"/>
      <c r="L526" s="66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3.5" customHeight="1" x14ac:dyDescent="0.25">
      <c r="A527" s="175"/>
      <c r="B527" s="170"/>
      <c r="C527" s="210"/>
      <c r="D527" s="170"/>
      <c r="E527" s="176">
        <f t="shared" si="8"/>
        <v>662274.450000023</v>
      </c>
      <c r="F527" s="174"/>
      <c r="G527" s="174"/>
      <c r="H527" s="174"/>
      <c r="I527" s="174"/>
      <c r="J527" s="174"/>
      <c r="K527" s="178"/>
      <c r="L527" s="66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3.5" customHeight="1" x14ac:dyDescent="0.25">
      <c r="A528" s="175"/>
      <c r="B528" s="170"/>
      <c r="C528" s="210"/>
      <c r="D528" s="170"/>
      <c r="E528" s="176">
        <f t="shared" si="8"/>
        <v>662274.450000023</v>
      </c>
      <c r="F528" s="174"/>
      <c r="G528" s="174"/>
      <c r="H528" s="174"/>
      <c r="I528" s="174"/>
      <c r="J528" s="174"/>
      <c r="K528" s="178"/>
      <c r="L528" s="66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3.5" customHeight="1" x14ac:dyDescent="0.25">
      <c r="A529" s="175"/>
      <c r="B529" s="170"/>
      <c r="C529" s="210"/>
      <c r="D529" s="170"/>
      <c r="E529" s="176">
        <f t="shared" si="8"/>
        <v>662274.450000023</v>
      </c>
      <c r="F529" s="174"/>
      <c r="G529" s="174"/>
      <c r="H529" s="174"/>
      <c r="I529" s="174"/>
      <c r="J529" s="174"/>
      <c r="K529" s="178"/>
      <c r="L529" s="66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3.5" customHeight="1" x14ac:dyDescent="0.25">
      <c r="A530" s="175"/>
      <c r="B530" s="170"/>
      <c r="C530" s="170"/>
      <c r="D530" s="210"/>
      <c r="E530" s="176">
        <f t="shared" si="8"/>
        <v>662274.450000023</v>
      </c>
      <c r="F530" s="173"/>
      <c r="G530" s="174"/>
      <c r="H530" s="177"/>
      <c r="I530" s="197"/>
      <c r="J530" s="174"/>
      <c r="K530" s="178"/>
      <c r="L530" s="66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3.5" customHeight="1" x14ac:dyDescent="0.25">
      <c r="A531" s="175"/>
      <c r="B531" s="170"/>
      <c r="C531" s="210"/>
      <c r="D531" s="170"/>
      <c r="E531" s="176">
        <f t="shared" si="8"/>
        <v>662274.450000023</v>
      </c>
      <c r="F531" s="174"/>
      <c r="G531" s="174"/>
      <c r="H531" s="174"/>
      <c r="I531" s="174"/>
      <c r="J531" s="174"/>
      <c r="K531" s="178"/>
      <c r="L531" s="66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3.5" customHeight="1" x14ac:dyDescent="0.25">
      <c r="A532" s="175"/>
      <c r="B532" s="170"/>
      <c r="C532" s="210"/>
      <c r="D532" s="170"/>
      <c r="E532" s="176">
        <f t="shared" si="8"/>
        <v>662274.450000023</v>
      </c>
      <c r="F532" s="204"/>
      <c r="G532" s="181"/>
      <c r="H532" s="205"/>
      <c r="I532" s="181"/>
      <c r="J532" s="206"/>
      <c r="K532" s="178"/>
      <c r="L532" s="66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3.5" customHeight="1" x14ac:dyDescent="0.25">
      <c r="A533" s="175"/>
      <c r="B533" s="170"/>
      <c r="C533" s="210"/>
      <c r="D533" s="170"/>
      <c r="E533" s="176">
        <f t="shared" si="8"/>
        <v>662274.450000023</v>
      </c>
      <c r="F533" s="174"/>
      <c r="G533" s="174"/>
      <c r="H533" s="174"/>
      <c r="I533" s="174"/>
      <c r="J533" s="174"/>
      <c r="K533" s="178"/>
      <c r="L533" s="66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3.5" customHeight="1" x14ac:dyDescent="0.25">
      <c r="A534" s="175"/>
      <c r="B534" s="170"/>
      <c r="C534" s="170"/>
      <c r="D534" s="210"/>
      <c r="E534" s="176">
        <f t="shared" si="8"/>
        <v>662274.450000023</v>
      </c>
      <c r="F534" s="174"/>
      <c r="G534" s="174"/>
      <c r="H534" s="174"/>
      <c r="I534" s="174"/>
      <c r="J534" s="174"/>
      <c r="K534" s="178"/>
      <c r="L534" s="66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3.5" customHeight="1" x14ac:dyDescent="0.25">
      <c r="A535" s="175"/>
      <c r="B535" s="170"/>
      <c r="C535" s="210"/>
      <c r="D535" s="170"/>
      <c r="E535" s="176">
        <f t="shared" si="8"/>
        <v>662274.450000023</v>
      </c>
      <c r="F535" s="173"/>
      <c r="G535" s="174"/>
      <c r="H535" s="177"/>
      <c r="I535" s="197"/>
      <c r="J535" s="174"/>
      <c r="K535" s="178"/>
      <c r="L535" s="66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3.5" customHeight="1" x14ac:dyDescent="0.25">
      <c r="A536" s="175"/>
      <c r="B536" s="170"/>
      <c r="C536" s="210"/>
      <c r="D536" s="170"/>
      <c r="E536" s="176">
        <f t="shared" si="8"/>
        <v>662274.450000023</v>
      </c>
      <c r="F536" s="173"/>
      <c r="G536" s="174"/>
      <c r="H536" s="177"/>
      <c r="I536" s="197"/>
      <c r="J536" s="174"/>
      <c r="K536" s="178"/>
      <c r="L536" s="66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3.5" customHeight="1" x14ac:dyDescent="0.25">
      <c r="A537" s="175"/>
      <c r="B537" s="170"/>
      <c r="C537" s="210"/>
      <c r="D537" s="170"/>
      <c r="E537" s="176">
        <f t="shared" si="8"/>
        <v>662274.450000023</v>
      </c>
      <c r="F537" s="174"/>
      <c r="G537" s="174"/>
      <c r="H537" s="174"/>
      <c r="I537" s="174"/>
      <c r="J537" s="174"/>
      <c r="K537" s="178"/>
      <c r="L537" s="66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3.5" customHeight="1" x14ac:dyDescent="0.25">
      <c r="A538" s="175"/>
      <c r="B538" s="170"/>
      <c r="C538" s="210"/>
      <c r="D538" s="170"/>
      <c r="E538" s="176">
        <f t="shared" si="8"/>
        <v>662274.450000023</v>
      </c>
      <c r="F538" s="174"/>
      <c r="G538" s="174"/>
      <c r="H538" s="174"/>
      <c r="I538" s="174"/>
      <c r="J538" s="174"/>
      <c r="K538" s="178"/>
      <c r="L538" s="66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3.5" customHeight="1" x14ac:dyDescent="0.25">
      <c r="A539" s="175"/>
      <c r="B539" s="170"/>
      <c r="C539" s="210"/>
      <c r="D539" s="170"/>
      <c r="E539" s="176">
        <f t="shared" si="8"/>
        <v>662274.450000023</v>
      </c>
      <c r="F539" s="174"/>
      <c r="G539" s="174"/>
      <c r="H539" s="174"/>
      <c r="I539" s="174"/>
      <c r="J539" s="174"/>
      <c r="K539" s="178"/>
      <c r="L539" s="66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3.5" customHeight="1" x14ac:dyDescent="0.25">
      <c r="A540" s="175"/>
      <c r="B540" s="170"/>
      <c r="C540" s="210"/>
      <c r="D540" s="170"/>
      <c r="E540" s="176">
        <f t="shared" si="8"/>
        <v>662274.450000023</v>
      </c>
      <c r="F540" s="174"/>
      <c r="G540" s="174"/>
      <c r="H540" s="174"/>
      <c r="I540" s="174"/>
      <c r="J540" s="174"/>
      <c r="K540" s="178"/>
      <c r="L540" s="66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3.5" customHeight="1" x14ac:dyDescent="0.25">
      <c r="A541" s="175"/>
      <c r="B541" s="170"/>
      <c r="C541" s="210"/>
      <c r="D541" s="170"/>
      <c r="E541" s="176">
        <f t="shared" si="8"/>
        <v>662274.450000023</v>
      </c>
      <c r="F541" s="174"/>
      <c r="G541" s="174"/>
      <c r="H541" s="174"/>
      <c r="I541" s="174"/>
      <c r="J541" s="174"/>
      <c r="K541" s="178"/>
      <c r="L541" s="66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3.5" customHeight="1" x14ac:dyDescent="0.25">
      <c r="A542" s="175"/>
      <c r="B542" s="170"/>
      <c r="C542" s="210"/>
      <c r="D542" s="170"/>
      <c r="E542" s="176">
        <f t="shared" si="8"/>
        <v>662274.450000023</v>
      </c>
      <c r="F542" s="174"/>
      <c r="G542" s="174"/>
      <c r="H542" s="174"/>
      <c r="I542" s="174"/>
      <c r="J542" s="174"/>
      <c r="K542" s="178"/>
      <c r="L542" s="66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3.5" customHeight="1" x14ac:dyDescent="0.25">
      <c r="A543" s="175"/>
      <c r="B543" s="170"/>
      <c r="C543" s="210"/>
      <c r="D543" s="170"/>
      <c r="E543" s="176">
        <f t="shared" si="8"/>
        <v>662274.450000023</v>
      </c>
      <c r="F543" s="174"/>
      <c r="G543" s="174"/>
      <c r="H543" s="174"/>
      <c r="I543" s="174"/>
      <c r="J543" s="174"/>
      <c r="K543" s="178"/>
      <c r="L543" s="66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3.5" customHeight="1" x14ac:dyDescent="0.25">
      <c r="A544" s="175"/>
      <c r="B544" s="170"/>
      <c r="C544" s="210"/>
      <c r="D544" s="170"/>
      <c r="E544" s="176">
        <f t="shared" si="8"/>
        <v>662274.450000023</v>
      </c>
      <c r="F544" s="174"/>
      <c r="G544" s="174"/>
      <c r="H544" s="174"/>
      <c r="I544" s="174"/>
      <c r="J544" s="174"/>
      <c r="K544" s="178"/>
      <c r="L544" s="66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3.5" customHeight="1" x14ac:dyDescent="0.25">
      <c r="A545" s="175"/>
      <c r="B545" s="170"/>
      <c r="C545" s="210"/>
      <c r="D545" s="170"/>
      <c r="E545" s="176">
        <f t="shared" si="8"/>
        <v>662274.450000023</v>
      </c>
      <c r="F545" s="174"/>
      <c r="G545" s="174"/>
      <c r="H545" s="174"/>
      <c r="I545" s="174"/>
      <c r="J545" s="174"/>
      <c r="K545" s="178"/>
      <c r="L545" s="66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3.5" customHeight="1" x14ac:dyDescent="0.25">
      <c r="A546" s="175"/>
      <c r="B546" s="170"/>
      <c r="C546" s="210"/>
      <c r="D546" s="170"/>
      <c r="E546" s="176">
        <f t="shared" si="8"/>
        <v>662274.450000023</v>
      </c>
      <c r="F546" s="174"/>
      <c r="G546" s="174"/>
      <c r="H546" s="174"/>
      <c r="I546" s="174"/>
      <c r="J546" s="174"/>
      <c r="K546" s="178"/>
      <c r="L546" s="66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3.5" customHeight="1" x14ac:dyDescent="0.25">
      <c r="A547" s="175"/>
      <c r="B547" s="170"/>
      <c r="C547" s="210"/>
      <c r="D547" s="170"/>
      <c r="E547" s="176">
        <f t="shared" si="8"/>
        <v>662274.450000023</v>
      </c>
      <c r="F547" s="174"/>
      <c r="G547" s="174"/>
      <c r="H547" s="174"/>
      <c r="I547" s="174"/>
      <c r="J547" s="174"/>
      <c r="K547" s="178"/>
      <c r="L547" s="66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3.5" customHeight="1" x14ac:dyDescent="0.25">
      <c r="A548" s="175"/>
      <c r="B548" s="170"/>
      <c r="C548" s="210"/>
      <c r="D548" s="170"/>
      <c r="E548" s="176">
        <f t="shared" si="8"/>
        <v>662274.450000023</v>
      </c>
      <c r="F548" s="174"/>
      <c r="G548" s="174"/>
      <c r="H548" s="174"/>
      <c r="I548" s="174"/>
      <c r="J548" s="174"/>
      <c r="K548" s="178"/>
      <c r="L548" s="66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3.5" customHeight="1" x14ac:dyDescent="0.25">
      <c r="A549" s="175"/>
      <c r="B549" s="170"/>
      <c r="C549" s="210"/>
      <c r="D549" s="170"/>
      <c r="E549" s="176">
        <f t="shared" si="8"/>
        <v>662274.450000023</v>
      </c>
      <c r="F549" s="174"/>
      <c r="G549" s="174"/>
      <c r="H549" s="174"/>
      <c r="I549" s="174"/>
      <c r="J549" s="174"/>
      <c r="K549" s="178"/>
      <c r="L549" s="66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3.5" customHeight="1" x14ac:dyDescent="0.25">
      <c r="A550" s="175"/>
      <c r="B550" s="170"/>
      <c r="C550" s="210"/>
      <c r="D550" s="170"/>
      <c r="E550" s="176">
        <f t="shared" si="8"/>
        <v>662274.450000023</v>
      </c>
      <c r="F550" s="174"/>
      <c r="G550" s="174"/>
      <c r="H550" s="174"/>
      <c r="I550" s="174"/>
      <c r="J550" s="174"/>
      <c r="K550" s="178"/>
      <c r="L550" s="66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3.5" customHeight="1" x14ac:dyDescent="0.25">
      <c r="A551" s="175"/>
      <c r="B551" s="170"/>
      <c r="C551" s="210"/>
      <c r="D551" s="170"/>
      <c r="E551" s="176">
        <f t="shared" si="8"/>
        <v>662274.450000023</v>
      </c>
      <c r="F551" s="174"/>
      <c r="G551" s="174"/>
      <c r="H551" s="174"/>
      <c r="I551" s="174"/>
      <c r="J551" s="174"/>
      <c r="K551" s="178"/>
      <c r="L551" s="66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3.5" customHeight="1" x14ac:dyDescent="0.25">
      <c r="A552" s="175"/>
      <c r="B552" s="170"/>
      <c r="C552" s="210"/>
      <c r="D552" s="170"/>
      <c r="E552" s="176">
        <f t="shared" si="8"/>
        <v>662274.450000023</v>
      </c>
      <c r="F552" s="174"/>
      <c r="G552" s="174"/>
      <c r="H552" s="174"/>
      <c r="I552" s="174"/>
      <c r="J552" s="174"/>
      <c r="K552" s="178"/>
      <c r="L552" s="66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3.5" customHeight="1" x14ac:dyDescent="0.25">
      <c r="A553" s="175"/>
      <c r="B553" s="170"/>
      <c r="C553" s="210"/>
      <c r="D553" s="170"/>
      <c r="E553" s="176">
        <f t="shared" si="8"/>
        <v>662274.450000023</v>
      </c>
      <c r="F553" s="174"/>
      <c r="G553" s="174"/>
      <c r="H553" s="174"/>
      <c r="I553" s="174"/>
      <c r="J553" s="174"/>
      <c r="K553" s="178"/>
      <c r="L553" s="66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3.5" customHeight="1" x14ac:dyDescent="0.25">
      <c r="A554" s="175"/>
      <c r="B554" s="170"/>
      <c r="C554" s="210"/>
      <c r="D554" s="170"/>
      <c r="E554" s="176">
        <f t="shared" si="8"/>
        <v>662274.450000023</v>
      </c>
      <c r="F554" s="174"/>
      <c r="G554" s="174"/>
      <c r="H554" s="174"/>
      <c r="I554" s="174"/>
      <c r="J554" s="174"/>
      <c r="K554" s="178"/>
      <c r="L554" s="66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3.5" customHeight="1" x14ac:dyDescent="0.25">
      <c r="A555" s="175"/>
      <c r="B555" s="170"/>
      <c r="C555" s="210"/>
      <c r="D555" s="170"/>
      <c r="E555" s="176">
        <f t="shared" si="8"/>
        <v>662274.450000023</v>
      </c>
      <c r="F555" s="174"/>
      <c r="G555" s="174"/>
      <c r="H555" s="174"/>
      <c r="I555" s="174"/>
      <c r="J555" s="174"/>
      <c r="K555" s="178"/>
      <c r="L555" s="66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3.5" customHeight="1" x14ac:dyDescent="0.25">
      <c r="A556" s="175"/>
      <c r="B556" s="170"/>
      <c r="C556" s="210"/>
      <c r="D556" s="170"/>
      <c r="E556" s="176">
        <f t="shared" si="8"/>
        <v>662274.450000023</v>
      </c>
      <c r="F556" s="174"/>
      <c r="G556" s="174"/>
      <c r="H556" s="174"/>
      <c r="I556" s="174"/>
      <c r="J556" s="174"/>
      <c r="K556" s="178"/>
      <c r="L556" s="66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3.5" customHeight="1" x14ac:dyDescent="0.25">
      <c r="A557" s="175"/>
      <c r="B557" s="170"/>
      <c r="C557" s="210"/>
      <c r="D557" s="170"/>
      <c r="E557" s="176">
        <f t="shared" si="8"/>
        <v>662274.450000023</v>
      </c>
      <c r="F557" s="174"/>
      <c r="G557" s="174"/>
      <c r="H557" s="174"/>
      <c r="I557" s="174"/>
      <c r="J557" s="174"/>
      <c r="K557" s="178"/>
      <c r="L557" s="66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3.5" customHeight="1" x14ac:dyDescent="0.25">
      <c r="A558" s="175"/>
      <c r="B558" s="170"/>
      <c r="C558" s="210"/>
      <c r="D558" s="170"/>
      <c r="E558" s="176">
        <f t="shared" si="8"/>
        <v>662274.450000023</v>
      </c>
      <c r="F558" s="174"/>
      <c r="G558" s="174"/>
      <c r="H558" s="174"/>
      <c r="I558" s="174"/>
      <c r="J558" s="174"/>
      <c r="K558" s="178"/>
      <c r="L558" s="66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3.5" customHeight="1" x14ac:dyDescent="0.25">
      <c r="A559" s="175"/>
      <c r="B559" s="170"/>
      <c r="C559" s="210"/>
      <c r="D559" s="170"/>
      <c r="E559" s="176">
        <f t="shared" si="8"/>
        <v>662274.450000023</v>
      </c>
      <c r="F559" s="174"/>
      <c r="G559" s="174"/>
      <c r="H559" s="174"/>
      <c r="I559" s="174"/>
      <c r="J559" s="174"/>
      <c r="K559" s="178"/>
      <c r="L559" s="66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3.5" customHeight="1" x14ac:dyDescent="0.25">
      <c r="A560" s="175"/>
      <c r="B560" s="170"/>
      <c r="C560" s="210"/>
      <c r="D560" s="170"/>
      <c r="E560" s="176">
        <f t="shared" si="8"/>
        <v>662274.450000023</v>
      </c>
      <c r="F560" s="174"/>
      <c r="G560" s="174"/>
      <c r="H560" s="174"/>
      <c r="I560" s="174"/>
      <c r="J560" s="174"/>
      <c r="K560" s="178"/>
      <c r="L560" s="66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3.5" customHeight="1" x14ac:dyDescent="0.25">
      <c r="A561" s="175"/>
      <c r="B561" s="170"/>
      <c r="C561" s="210"/>
      <c r="D561" s="170"/>
      <c r="E561" s="176">
        <f t="shared" si="8"/>
        <v>662274.450000023</v>
      </c>
      <c r="F561" s="174"/>
      <c r="G561" s="174"/>
      <c r="H561" s="174"/>
      <c r="I561" s="174"/>
      <c r="J561" s="174"/>
      <c r="K561" s="178"/>
      <c r="L561" s="66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3.5" customHeight="1" x14ac:dyDescent="0.25">
      <c r="A562" s="175"/>
      <c r="B562" s="170"/>
      <c r="C562" s="210"/>
      <c r="D562" s="170"/>
      <c r="E562" s="176">
        <f t="shared" si="8"/>
        <v>662274.450000023</v>
      </c>
      <c r="F562" s="174"/>
      <c r="G562" s="174"/>
      <c r="H562" s="174"/>
      <c r="I562" s="174"/>
      <c r="J562" s="174"/>
      <c r="K562" s="178"/>
      <c r="L562" s="66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3.5" customHeight="1" x14ac:dyDescent="0.25">
      <c r="A563" s="175"/>
      <c r="B563" s="170"/>
      <c r="C563" s="210"/>
      <c r="D563" s="170"/>
      <c r="E563" s="176">
        <f t="shared" si="8"/>
        <v>662274.450000023</v>
      </c>
      <c r="F563" s="174"/>
      <c r="G563" s="174"/>
      <c r="H563" s="174"/>
      <c r="I563" s="174"/>
      <c r="J563" s="174"/>
      <c r="K563" s="178"/>
      <c r="L563" s="66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3.5" customHeight="1" x14ac:dyDescent="0.25">
      <c r="A564" s="175"/>
      <c r="B564" s="170"/>
      <c r="C564" s="210"/>
      <c r="D564" s="170"/>
      <c r="E564" s="176">
        <f t="shared" si="8"/>
        <v>662274.450000023</v>
      </c>
      <c r="F564" s="174"/>
      <c r="G564" s="174"/>
      <c r="H564" s="174"/>
      <c r="I564" s="174"/>
      <c r="J564" s="174"/>
      <c r="K564" s="178"/>
      <c r="L564" s="66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3.5" customHeight="1" x14ac:dyDescent="0.25">
      <c r="A565" s="175"/>
      <c r="B565" s="170"/>
      <c r="C565" s="210"/>
      <c r="D565" s="170"/>
      <c r="E565" s="176">
        <f t="shared" si="8"/>
        <v>662274.450000023</v>
      </c>
      <c r="F565" s="174"/>
      <c r="G565" s="174"/>
      <c r="H565" s="174"/>
      <c r="I565" s="174"/>
      <c r="J565" s="174"/>
      <c r="K565" s="178"/>
      <c r="L565" s="66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3.5" customHeight="1" x14ac:dyDescent="0.25">
      <c r="A566" s="175"/>
      <c r="B566" s="170"/>
      <c r="C566" s="210"/>
      <c r="D566" s="170"/>
      <c r="E566" s="176">
        <f t="shared" si="8"/>
        <v>662274.450000023</v>
      </c>
      <c r="F566" s="174"/>
      <c r="G566" s="174"/>
      <c r="H566" s="174"/>
      <c r="I566" s="174"/>
      <c r="J566" s="174"/>
      <c r="K566" s="178"/>
      <c r="L566" s="66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3.5" customHeight="1" x14ac:dyDescent="0.25">
      <c r="A567" s="175"/>
      <c r="B567" s="170"/>
      <c r="C567" s="210"/>
      <c r="D567" s="170"/>
      <c r="E567" s="176">
        <f t="shared" si="8"/>
        <v>662274.450000023</v>
      </c>
      <c r="F567" s="211"/>
      <c r="G567" s="183"/>
      <c r="H567" s="212"/>
      <c r="I567" s="183"/>
      <c r="J567" s="213"/>
      <c r="K567" s="178"/>
      <c r="L567" s="66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3.5" customHeight="1" x14ac:dyDescent="0.25">
      <c r="A568" s="175"/>
      <c r="B568" s="170"/>
      <c r="C568" s="210"/>
      <c r="D568" s="170"/>
      <c r="E568" s="176">
        <f t="shared" si="8"/>
        <v>662274.450000023</v>
      </c>
      <c r="F568" s="174"/>
      <c r="G568" s="174"/>
      <c r="H568" s="174"/>
      <c r="I568" s="174"/>
      <c r="J568" s="174"/>
      <c r="K568" s="178"/>
      <c r="L568" s="66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3.5" customHeight="1" x14ac:dyDescent="0.25">
      <c r="A569" s="175"/>
      <c r="B569" s="170"/>
      <c r="C569" s="210"/>
      <c r="D569" s="170"/>
      <c r="E569" s="176">
        <f t="shared" si="8"/>
        <v>662274.450000023</v>
      </c>
      <c r="F569" s="174"/>
      <c r="G569" s="174"/>
      <c r="H569" s="174"/>
      <c r="I569" s="174"/>
      <c r="J569" s="174"/>
      <c r="K569" s="178"/>
      <c r="L569" s="66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3.5" customHeight="1" x14ac:dyDescent="0.25">
      <c r="A570" s="175"/>
      <c r="B570" s="170"/>
      <c r="C570" s="210"/>
      <c r="D570" s="170"/>
      <c r="E570" s="176">
        <f t="shared" si="8"/>
        <v>662274.450000023</v>
      </c>
      <c r="F570" s="173"/>
      <c r="G570" s="174"/>
      <c r="H570" s="177"/>
      <c r="I570" s="197"/>
      <c r="J570" s="179"/>
      <c r="K570" s="178"/>
      <c r="L570" s="66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3.5" customHeight="1" x14ac:dyDescent="0.25">
      <c r="A571" s="175"/>
      <c r="B571" s="170"/>
      <c r="C571" s="210"/>
      <c r="D571" s="170"/>
      <c r="E571" s="176">
        <f t="shared" si="8"/>
        <v>662274.450000023</v>
      </c>
      <c r="F571" s="173"/>
      <c r="G571" s="174"/>
      <c r="H571" s="177"/>
      <c r="I571" s="197"/>
      <c r="J571" s="174"/>
      <c r="K571" s="178"/>
      <c r="L571" s="66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3.5" customHeight="1" x14ac:dyDescent="0.25">
      <c r="A572" s="175"/>
      <c r="B572" s="170"/>
      <c r="C572" s="210"/>
      <c r="D572" s="170"/>
      <c r="E572" s="176">
        <f t="shared" si="8"/>
        <v>662274.450000023</v>
      </c>
      <c r="F572" s="174"/>
      <c r="G572" s="174"/>
      <c r="H572" s="174"/>
      <c r="I572" s="174"/>
      <c r="J572" s="174"/>
      <c r="K572" s="178"/>
      <c r="L572" s="66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3.5" customHeight="1" x14ac:dyDescent="0.25">
      <c r="A573" s="175"/>
      <c r="B573" s="170"/>
      <c r="C573" s="210"/>
      <c r="D573" s="170"/>
      <c r="E573" s="176">
        <f t="shared" si="8"/>
        <v>662274.450000023</v>
      </c>
      <c r="F573" s="174"/>
      <c r="G573" s="174"/>
      <c r="H573" s="174"/>
      <c r="I573" s="174"/>
      <c r="J573" s="174"/>
      <c r="K573" s="178"/>
      <c r="L573" s="66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3.5" customHeight="1" x14ac:dyDescent="0.25">
      <c r="A574" s="175"/>
      <c r="B574" s="170"/>
      <c r="C574" s="210"/>
      <c r="D574" s="170"/>
      <c r="E574" s="176">
        <f t="shared" si="8"/>
        <v>662274.450000023</v>
      </c>
      <c r="F574" s="174"/>
      <c r="G574" s="174"/>
      <c r="H574" s="174"/>
      <c r="I574" s="174"/>
      <c r="J574" s="174"/>
      <c r="K574" s="178"/>
      <c r="L574" s="66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3.5" customHeight="1" x14ac:dyDescent="0.25">
      <c r="A575" s="175"/>
      <c r="B575" s="170"/>
      <c r="C575" s="210"/>
      <c r="D575" s="170"/>
      <c r="E575" s="176">
        <f t="shared" si="8"/>
        <v>662274.450000023</v>
      </c>
      <c r="F575" s="174"/>
      <c r="G575" s="174"/>
      <c r="H575" s="174"/>
      <c r="I575" s="174"/>
      <c r="J575" s="174"/>
      <c r="K575" s="178"/>
      <c r="L575" s="66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3.5" customHeight="1" x14ac:dyDescent="0.25">
      <c r="A576" s="175"/>
      <c r="B576" s="170"/>
      <c r="C576" s="210"/>
      <c r="D576" s="170"/>
      <c r="E576" s="176">
        <f t="shared" si="8"/>
        <v>662274.450000023</v>
      </c>
      <c r="F576" s="174"/>
      <c r="G576" s="174"/>
      <c r="H576" s="174"/>
      <c r="I576" s="174"/>
      <c r="J576" s="174"/>
      <c r="K576" s="178"/>
      <c r="L576" s="66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3.5" customHeight="1" x14ac:dyDescent="0.25">
      <c r="A577" s="175"/>
      <c r="B577" s="170"/>
      <c r="C577" s="210"/>
      <c r="D577" s="170"/>
      <c r="E577" s="176">
        <f t="shared" si="8"/>
        <v>662274.450000023</v>
      </c>
      <c r="F577" s="174"/>
      <c r="G577" s="174"/>
      <c r="H577" s="174"/>
      <c r="I577" s="174"/>
      <c r="J577" s="174"/>
      <c r="K577" s="178"/>
      <c r="L577" s="66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3.5" customHeight="1" x14ac:dyDescent="0.25">
      <c r="A578" s="175"/>
      <c r="B578" s="170"/>
      <c r="C578" s="210"/>
      <c r="D578" s="170"/>
      <c r="E578" s="176">
        <f t="shared" si="8"/>
        <v>662274.450000023</v>
      </c>
      <c r="F578" s="174"/>
      <c r="G578" s="174"/>
      <c r="H578" s="174"/>
      <c r="I578" s="174"/>
      <c r="J578" s="174"/>
      <c r="K578" s="178"/>
      <c r="L578" s="66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3.5" customHeight="1" x14ac:dyDescent="0.25">
      <c r="A579" s="175"/>
      <c r="B579" s="170"/>
      <c r="C579" s="210"/>
      <c r="D579" s="170"/>
      <c r="E579" s="176">
        <f t="shared" si="8"/>
        <v>662274.450000023</v>
      </c>
      <c r="F579" s="174"/>
      <c r="G579" s="174"/>
      <c r="H579" s="174"/>
      <c r="I579" s="174"/>
      <c r="J579" s="174"/>
      <c r="K579" s="178"/>
      <c r="L579" s="66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3.5" customHeight="1" x14ac:dyDescent="0.25">
      <c r="A580" s="175"/>
      <c r="B580" s="170"/>
      <c r="C580" s="210"/>
      <c r="D580" s="170"/>
      <c r="E580" s="176">
        <f t="shared" si="8"/>
        <v>662274.450000023</v>
      </c>
      <c r="F580" s="174"/>
      <c r="G580" s="174"/>
      <c r="H580" s="174"/>
      <c r="I580" s="174"/>
      <c r="J580" s="174"/>
      <c r="K580" s="178"/>
      <c r="L580" s="66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3.5" customHeight="1" x14ac:dyDescent="0.25">
      <c r="A581" s="175"/>
      <c r="B581" s="170"/>
      <c r="C581" s="210"/>
      <c r="D581" s="170"/>
      <c r="E581" s="176">
        <f t="shared" si="8"/>
        <v>662274.450000023</v>
      </c>
      <c r="F581" s="174"/>
      <c r="G581" s="174"/>
      <c r="H581" s="174"/>
      <c r="I581" s="174"/>
      <c r="J581" s="174"/>
      <c r="K581" s="178"/>
      <c r="L581" s="66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3.5" customHeight="1" x14ac:dyDescent="0.25">
      <c r="A582" s="175"/>
      <c r="B582" s="170"/>
      <c r="C582" s="210"/>
      <c r="D582" s="170"/>
      <c r="E582" s="176">
        <f t="shared" si="8"/>
        <v>662274.450000023</v>
      </c>
      <c r="F582" s="174"/>
      <c r="G582" s="174"/>
      <c r="H582" s="174"/>
      <c r="I582" s="174"/>
      <c r="J582" s="174"/>
      <c r="K582" s="178"/>
      <c r="L582" s="66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3.5" customHeight="1" x14ac:dyDescent="0.25">
      <c r="A583" s="175"/>
      <c r="B583" s="170"/>
      <c r="C583" s="210"/>
      <c r="D583" s="170"/>
      <c r="E583" s="176">
        <f t="shared" si="8"/>
        <v>662274.450000023</v>
      </c>
      <c r="F583" s="174"/>
      <c r="G583" s="174"/>
      <c r="H583" s="174"/>
      <c r="I583" s="174"/>
      <c r="J583" s="174"/>
      <c r="K583" s="178"/>
      <c r="L583" s="66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3.5" customHeight="1" x14ac:dyDescent="0.25">
      <c r="A584" s="175"/>
      <c r="B584" s="170"/>
      <c r="C584" s="210"/>
      <c r="D584" s="170"/>
      <c r="E584" s="176">
        <f t="shared" ref="E584:E647" si="9">E583-C584+D584</f>
        <v>662274.450000023</v>
      </c>
      <c r="F584" s="174"/>
      <c r="G584" s="174"/>
      <c r="H584" s="174"/>
      <c r="I584" s="174"/>
      <c r="J584" s="174"/>
      <c r="K584" s="178"/>
      <c r="L584" s="66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3.5" customHeight="1" x14ac:dyDescent="0.25">
      <c r="A585" s="175"/>
      <c r="B585" s="170"/>
      <c r="C585" s="210"/>
      <c r="D585" s="170"/>
      <c r="E585" s="176">
        <f t="shared" si="9"/>
        <v>662274.450000023</v>
      </c>
      <c r="F585" s="174"/>
      <c r="G585" s="174"/>
      <c r="H585" s="174"/>
      <c r="I585" s="174"/>
      <c r="J585" s="174"/>
      <c r="K585" s="178"/>
      <c r="L585" s="66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3.5" customHeight="1" x14ac:dyDescent="0.25">
      <c r="A586" s="175"/>
      <c r="B586" s="170"/>
      <c r="C586" s="210"/>
      <c r="D586" s="170"/>
      <c r="E586" s="176">
        <f t="shared" si="9"/>
        <v>662274.450000023</v>
      </c>
      <c r="F586" s="174"/>
      <c r="G586" s="174"/>
      <c r="H586" s="174"/>
      <c r="I586" s="174"/>
      <c r="J586" s="174"/>
      <c r="K586" s="178"/>
      <c r="L586" s="66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3.5" customHeight="1" x14ac:dyDescent="0.25">
      <c r="A587" s="175"/>
      <c r="B587" s="170"/>
      <c r="C587" s="210"/>
      <c r="D587" s="170"/>
      <c r="E587" s="176">
        <f t="shared" si="9"/>
        <v>662274.450000023</v>
      </c>
      <c r="F587" s="174"/>
      <c r="G587" s="174"/>
      <c r="H587" s="174"/>
      <c r="I587" s="174"/>
      <c r="J587" s="174"/>
      <c r="K587" s="178"/>
      <c r="L587" s="66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3.5" customHeight="1" x14ac:dyDescent="0.25">
      <c r="A588" s="175"/>
      <c r="B588" s="170"/>
      <c r="C588" s="210"/>
      <c r="D588" s="170"/>
      <c r="E588" s="176">
        <f t="shared" si="9"/>
        <v>662274.450000023</v>
      </c>
      <c r="F588" s="174"/>
      <c r="G588" s="174"/>
      <c r="H588" s="174"/>
      <c r="I588" s="174"/>
      <c r="J588" s="174"/>
      <c r="K588" s="178"/>
      <c r="L588" s="66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3.5" customHeight="1" x14ac:dyDescent="0.25">
      <c r="A589" s="175"/>
      <c r="B589" s="170"/>
      <c r="C589" s="210"/>
      <c r="D589" s="170"/>
      <c r="E589" s="176">
        <f t="shared" si="9"/>
        <v>662274.450000023</v>
      </c>
      <c r="F589" s="174"/>
      <c r="G589" s="174"/>
      <c r="H589" s="174"/>
      <c r="I589" s="174"/>
      <c r="J589" s="174"/>
      <c r="K589" s="178"/>
      <c r="L589" s="66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3.5" customHeight="1" x14ac:dyDescent="0.25">
      <c r="A590" s="175"/>
      <c r="B590" s="170"/>
      <c r="C590" s="210"/>
      <c r="D590" s="170"/>
      <c r="E590" s="176">
        <f t="shared" si="9"/>
        <v>662274.450000023</v>
      </c>
      <c r="F590" s="174"/>
      <c r="G590" s="174"/>
      <c r="H590" s="174"/>
      <c r="I590" s="174"/>
      <c r="J590" s="174"/>
      <c r="K590" s="178"/>
      <c r="L590" s="66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3.5" customHeight="1" x14ac:dyDescent="0.25">
      <c r="A591" s="175"/>
      <c r="B591" s="170"/>
      <c r="C591" s="210"/>
      <c r="D591" s="170"/>
      <c r="E591" s="176">
        <f t="shared" si="9"/>
        <v>662274.450000023</v>
      </c>
      <c r="F591" s="179"/>
      <c r="G591" s="179"/>
      <c r="H591" s="179"/>
      <c r="I591" s="179"/>
      <c r="J591" s="179"/>
      <c r="K591" s="178"/>
      <c r="L591" s="66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3.5" customHeight="1" x14ac:dyDescent="0.25">
      <c r="A592" s="175"/>
      <c r="B592" s="170"/>
      <c r="C592" s="210"/>
      <c r="D592" s="170"/>
      <c r="E592" s="176">
        <f t="shared" si="9"/>
        <v>662274.450000023</v>
      </c>
      <c r="F592" s="174"/>
      <c r="G592" s="174"/>
      <c r="H592" s="174"/>
      <c r="I592" s="174"/>
      <c r="J592" s="174"/>
      <c r="K592" s="178"/>
      <c r="L592" s="66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3.5" customHeight="1" x14ac:dyDescent="0.25">
      <c r="A593" s="175"/>
      <c r="B593" s="170"/>
      <c r="C593" s="210"/>
      <c r="D593" s="170"/>
      <c r="E593" s="176">
        <f t="shared" si="9"/>
        <v>662274.450000023</v>
      </c>
      <c r="F593" s="174"/>
      <c r="G593" s="174"/>
      <c r="H593" s="174"/>
      <c r="I593" s="174"/>
      <c r="J593" s="174"/>
      <c r="K593" s="178"/>
      <c r="L593" s="66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3.5" customHeight="1" x14ac:dyDescent="0.25">
      <c r="A594" s="175"/>
      <c r="B594" s="170"/>
      <c r="C594" s="210"/>
      <c r="D594" s="170"/>
      <c r="E594" s="176">
        <f t="shared" si="9"/>
        <v>662274.450000023</v>
      </c>
      <c r="F594" s="174"/>
      <c r="G594" s="174"/>
      <c r="H594" s="174"/>
      <c r="I594" s="174"/>
      <c r="J594" s="174"/>
      <c r="K594" s="178"/>
      <c r="L594" s="66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3.5" customHeight="1" x14ac:dyDescent="0.25">
      <c r="A595" s="175"/>
      <c r="B595" s="170"/>
      <c r="C595" s="210"/>
      <c r="D595" s="170"/>
      <c r="E595" s="176">
        <f t="shared" si="9"/>
        <v>662274.450000023</v>
      </c>
      <c r="F595" s="174"/>
      <c r="G595" s="174"/>
      <c r="H595" s="174"/>
      <c r="I595" s="174"/>
      <c r="J595" s="174"/>
      <c r="K595" s="178"/>
      <c r="L595" s="66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3.5" customHeight="1" x14ac:dyDescent="0.25">
      <c r="A596" s="175"/>
      <c r="B596" s="170"/>
      <c r="C596" s="210"/>
      <c r="D596" s="170"/>
      <c r="E596" s="176">
        <f t="shared" si="9"/>
        <v>662274.450000023</v>
      </c>
      <c r="F596" s="174"/>
      <c r="G596" s="174"/>
      <c r="H596" s="174"/>
      <c r="I596" s="174"/>
      <c r="J596" s="174"/>
      <c r="K596" s="178"/>
      <c r="L596" s="66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3.5" customHeight="1" x14ac:dyDescent="0.25">
      <c r="A597" s="175"/>
      <c r="B597" s="170"/>
      <c r="C597" s="210"/>
      <c r="D597" s="170"/>
      <c r="E597" s="176">
        <f t="shared" si="9"/>
        <v>662274.450000023</v>
      </c>
      <c r="F597" s="174"/>
      <c r="G597" s="174"/>
      <c r="H597" s="174"/>
      <c r="I597" s="174"/>
      <c r="J597" s="174"/>
      <c r="K597" s="178"/>
      <c r="L597" s="66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3.5" customHeight="1" x14ac:dyDescent="0.25">
      <c r="A598" s="175"/>
      <c r="B598" s="170"/>
      <c r="C598" s="210"/>
      <c r="D598" s="170"/>
      <c r="E598" s="176">
        <f t="shared" si="9"/>
        <v>662274.450000023</v>
      </c>
      <c r="F598" s="174"/>
      <c r="G598" s="174"/>
      <c r="H598" s="174"/>
      <c r="I598" s="174"/>
      <c r="J598" s="125"/>
      <c r="K598" s="178"/>
      <c r="L598" s="66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3.5" customHeight="1" x14ac:dyDescent="0.25">
      <c r="A599" s="175"/>
      <c r="B599" s="170"/>
      <c r="C599" s="210"/>
      <c r="D599" s="170"/>
      <c r="E599" s="176">
        <f t="shared" si="9"/>
        <v>662274.450000023</v>
      </c>
      <c r="F599" s="173"/>
      <c r="G599" s="199"/>
      <c r="H599" s="203"/>
      <c r="I599" s="178"/>
      <c r="J599" s="174"/>
      <c r="K599" s="178"/>
      <c r="L599" s="67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3.5" customHeight="1" x14ac:dyDescent="0.25">
      <c r="A600" s="175"/>
      <c r="B600" s="170"/>
      <c r="C600" s="210"/>
      <c r="D600" s="170"/>
      <c r="E600" s="176">
        <f t="shared" si="9"/>
        <v>662274.450000023</v>
      </c>
      <c r="F600" s="173"/>
      <c r="G600" s="199"/>
      <c r="H600" s="203"/>
      <c r="I600" s="197"/>
      <c r="J600" s="174"/>
      <c r="K600" s="178"/>
      <c r="L600" s="66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3.5" customHeight="1" x14ac:dyDescent="0.25">
      <c r="A601" s="175"/>
      <c r="B601" s="170"/>
      <c r="C601" s="210"/>
      <c r="D601" s="170"/>
      <c r="E601" s="176">
        <f t="shared" si="9"/>
        <v>662274.450000023</v>
      </c>
      <c r="F601" s="174"/>
      <c r="G601" s="174"/>
      <c r="H601" s="174"/>
      <c r="I601" s="174"/>
      <c r="J601" s="174"/>
      <c r="K601" s="178"/>
      <c r="L601" s="66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3.5" customHeight="1" x14ac:dyDescent="0.25">
      <c r="A602" s="175"/>
      <c r="B602" s="170"/>
      <c r="C602" s="210"/>
      <c r="D602" s="170"/>
      <c r="E602" s="176">
        <f t="shared" si="9"/>
        <v>662274.450000023</v>
      </c>
      <c r="F602" s="174"/>
      <c r="G602" s="174"/>
      <c r="H602" s="174"/>
      <c r="I602" s="174"/>
      <c r="J602" s="174"/>
      <c r="K602" s="178"/>
      <c r="L602" s="66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3.5" customHeight="1" x14ac:dyDescent="0.25">
      <c r="A603" s="175"/>
      <c r="B603" s="170"/>
      <c r="C603" s="210"/>
      <c r="D603" s="170"/>
      <c r="E603" s="176">
        <f t="shared" si="9"/>
        <v>662274.450000023</v>
      </c>
      <c r="F603" s="174"/>
      <c r="G603" s="174"/>
      <c r="H603" s="174"/>
      <c r="I603" s="174"/>
      <c r="J603" s="174"/>
      <c r="K603" s="178"/>
      <c r="L603" s="66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3.5" customHeight="1" x14ac:dyDescent="0.25">
      <c r="A604" s="175"/>
      <c r="B604" s="170"/>
      <c r="C604" s="210"/>
      <c r="D604" s="170"/>
      <c r="E604" s="176">
        <f t="shared" si="9"/>
        <v>662274.450000023</v>
      </c>
      <c r="F604" s="174"/>
      <c r="G604" s="174"/>
      <c r="H604" s="174"/>
      <c r="I604" s="174"/>
      <c r="J604" s="174"/>
      <c r="K604" s="178"/>
      <c r="L604" s="66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3.5" customHeight="1" x14ac:dyDescent="0.25">
      <c r="A605" s="175"/>
      <c r="B605" s="170"/>
      <c r="C605" s="210"/>
      <c r="D605" s="170"/>
      <c r="E605" s="176">
        <f t="shared" si="9"/>
        <v>662274.450000023</v>
      </c>
      <c r="F605" s="174"/>
      <c r="G605" s="174"/>
      <c r="H605" s="174"/>
      <c r="I605" s="174"/>
      <c r="J605" s="174"/>
      <c r="K605" s="178"/>
      <c r="L605" s="66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3.5" customHeight="1" x14ac:dyDescent="0.25">
      <c r="A606" s="175"/>
      <c r="B606" s="170"/>
      <c r="C606" s="210"/>
      <c r="D606" s="170"/>
      <c r="E606" s="176">
        <f t="shared" si="9"/>
        <v>662274.450000023</v>
      </c>
      <c r="F606" s="174"/>
      <c r="G606" s="174"/>
      <c r="H606" s="174"/>
      <c r="I606" s="174"/>
      <c r="J606" s="174"/>
      <c r="K606" s="178"/>
      <c r="L606" s="66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3.5" customHeight="1" x14ac:dyDescent="0.25">
      <c r="A607" s="175"/>
      <c r="B607" s="170"/>
      <c r="C607" s="210"/>
      <c r="D607" s="170"/>
      <c r="E607" s="176">
        <f t="shared" si="9"/>
        <v>662274.450000023</v>
      </c>
      <c r="F607" s="174"/>
      <c r="G607" s="174"/>
      <c r="H607" s="174"/>
      <c r="I607" s="174"/>
      <c r="J607" s="174"/>
      <c r="K607" s="178"/>
      <c r="L607" s="66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3.5" customHeight="1" x14ac:dyDescent="0.25">
      <c r="A608" s="175"/>
      <c r="B608" s="170"/>
      <c r="C608" s="210"/>
      <c r="D608" s="170"/>
      <c r="E608" s="176">
        <f t="shared" si="9"/>
        <v>662274.450000023</v>
      </c>
      <c r="F608" s="174"/>
      <c r="G608" s="174"/>
      <c r="H608" s="174"/>
      <c r="I608" s="174"/>
      <c r="J608" s="174"/>
      <c r="K608" s="178"/>
      <c r="L608" s="66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3.5" customHeight="1" x14ac:dyDescent="0.25">
      <c r="A609" s="175"/>
      <c r="B609" s="170"/>
      <c r="C609" s="210"/>
      <c r="D609" s="170"/>
      <c r="E609" s="176">
        <f t="shared" si="9"/>
        <v>662274.450000023</v>
      </c>
      <c r="F609" s="174"/>
      <c r="G609" s="174"/>
      <c r="H609" s="174"/>
      <c r="I609" s="174"/>
      <c r="J609" s="174"/>
      <c r="K609" s="178"/>
      <c r="L609" s="66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3.5" customHeight="1" x14ac:dyDescent="0.25">
      <c r="A610" s="175"/>
      <c r="B610" s="170"/>
      <c r="C610" s="210"/>
      <c r="D610" s="170"/>
      <c r="E610" s="176">
        <f t="shared" si="9"/>
        <v>662274.450000023</v>
      </c>
      <c r="F610" s="204"/>
      <c r="G610" s="181"/>
      <c r="H610" s="205"/>
      <c r="I610" s="181"/>
      <c r="J610" s="206"/>
      <c r="K610" s="178"/>
      <c r="L610" s="66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3.5" customHeight="1" x14ac:dyDescent="0.25">
      <c r="A611" s="175"/>
      <c r="B611" s="170"/>
      <c r="C611" s="210"/>
      <c r="D611" s="170"/>
      <c r="E611" s="176">
        <f t="shared" si="9"/>
        <v>662274.450000023</v>
      </c>
      <c r="F611" s="174"/>
      <c r="G611" s="174"/>
      <c r="H611" s="174"/>
      <c r="I611" s="174"/>
      <c r="J611" s="174"/>
      <c r="K611" s="178"/>
      <c r="L611" s="66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3.5" customHeight="1" x14ac:dyDescent="0.25">
      <c r="A612" s="175"/>
      <c r="B612" s="170"/>
      <c r="C612" s="210"/>
      <c r="D612" s="170"/>
      <c r="E612" s="176">
        <f t="shared" si="9"/>
        <v>662274.450000023</v>
      </c>
      <c r="F612" s="174"/>
      <c r="G612" s="174"/>
      <c r="H612" s="174"/>
      <c r="I612" s="174"/>
      <c r="J612" s="174"/>
      <c r="K612" s="178"/>
      <c r="L612" s="66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3.5" customHeight="1" x14ac:dyDescent="0.25">
      <c r="A613" s="175"/>
      <c r="B613" s="170"/>
      <c r="C613" s="210"/>
      <c r="D613" s="170"/>
      <c r="E613" s="176">
        <f t="shared" si="9"/>
        <v>662274.450000023</v>
      </c>
      <c r="F613" s="174"/>
      <c r="G613" s="174"/>
      <c r="H613" s="174"/>
      <c r="I613" s="174"/>
      <c r="J613" s="174"/>
      <c r="K613" s="178"/>
      <c r="L613" s="66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3.5" customHeight="1" x14ac:dyDescent="0.25">
      <c r="A614" s="175"/>
      <c r="B614" s="170"/>
      <c r="C614" s="210"/>
      <c r="D614" s="170"/>
      <c r="E614" s="176">
        <f t="shared" si="9"/>
        <v>662274.450000023</v>
      </c>
      <c r="F614" s="174"/>
      <c r="G614" s="174"/>
      <c r="H614" s="174"/>
      <c r="I614" s="174"/>
      <c r="J614" s="174"/>
      <c r="K614" s="178"/>
      <c r="L614" s="66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3.5" customHeight="1" x14ac:dyDescent="0.25">
      <c r="A615" s="175"/>
      <c r="B615" s="170"/>
      <c r="C615" s="210"/>
      <c r="D615" s="170"/>
      <c r="E615" s="176">
        <f t="shared" si="9"/>
        <v>662274.450000023</v>
      </c>
      <c r="F615" s="174"/>
      <c r="G615" s="174"/>
      <c r="H615" s="174"/>
      <c r="I615" s="174"/>
      <c r="J615" s="174"/>
      <c r="K615" s="178"/>
      <c r="L615" s="66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3.5" customHeight="1" x14ac:dyDescent="0.25">
      <c r="A616" s="175"/>
      <c r="B616" s="170"/>
      <c r="C616" s="210"/>
      <c r="D616" s="170"/>
      <c r="E616" s="176">
        <f t="shared" si="9"/>
        <v>662274.450000023</v>
      </c>
      <c r="F616" s="174"/>
      <c r="G616" s="174"/>
      <c r="H616" s="174"/>
      <c r="I616" s="174"/>
      <c r="J616" s="174"/>
      <c r="K616" s="66"/>
      <c r="L616" s="66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3.5" customHeight="1" x14ac:dyDescent="0.25">
      <c r="A617" s="175"/>
      <c r="B617" s="170"/>
      <c r="C617" s="210"/>
      <c r="D617" s="170"/>
      <c r="E617" s="176">
        <f t="shared" si="9"/>
        <v>662274.450000023</v>
      </c>
      <c r="F617" s="174"/>
      <c r="G617" s="174"/>
      <c r="H617" s="174"/>
      <c r="I617" s="174"/>
      <c r="J617" s="174"/>
      <c r="K617" s="66"/>
      <c r="L617" s="66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3.5" customHeight="1" x14ac:dyDescent="0.25">
      <c r="A618" s="175"/>
      <c r="B618" s="170"/>
      <c r="C618" s="210"/>
      <c r="D618" s="170"/>
      <c r="E618" s="176">
        <f t="shared" si="9"/>
        <v>662274.450000023</v>
      </c>
      <c r="F618" s="174"/>
      <c r="G618" s="174"/>
      <c r="H618" s="174"/>
      <c r="I618" s="174"/>
      <c r="J618" s="174"/>
      <c r="K618" s="66"/>
      <c r="L618" s="66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3.5" customHeight="1" x14ac:dyDescent="0.25">
      <c r="A619" s="175"/>
      <c r="B619" s="170"/>
      <c r="C619" s="210"/>
      <c r="D619" s="170"/>
      <c r="E619" s="176">
        <f t="shared" si="9"/>
        <v>662274.450000023</v>
      </c>
      <c r="F619" s="204"/>
      <c r="G619" s="181"/>
      <c r="H619" s="205"/>
      <c r="I619" s="181"/>
      <c r="J619" s="206"/>
      <c r="K619" s="66"/>
      <c r="L619" s="66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3.5" customHeight="1" x14ac:dyDescent="0.25">
      <c r="A620" s="175"/>
      <c r="B620" s="170"/>
      <c r="C620" s="210"/>
      <c r="D620" s="170"/>
      <c r="E620" s="176">
        <f t="shared" si="9"/>
        <v>662274.450000023</v>
      </c>
      <c r="F620" s="174"/>
      <c r="G620" s="174"/>
      <c r="H620" s="174"/>
      <c r="I620" s="174"/>
      <c r="J620" s="174"/>
      <c r="K620" s="66"/>
      <c r="L620" s="66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3.5" customHeight="1" x14ac:dyDescent="0.25">
      <c r="A621" s="175"/>
      <c r="B621" s="170"/>
      <c r="C621" s="170"/>
      <c r="D621" s="210"/>
      <c r="E621" s="176">
        <f t="shared" si="9"/>
        <v>662274.450000023</v>
      </c>
      <c r="F621" s="174"/>
      <c r="G621" s="174"/>
      <c r="H621" s="174"/>
      <c r="I621" s="174"/>
      <c r="J621" s="174"/>
      <c r="K621" s="66"/>
      <c r="L621" s="66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3.5" customHeight="1" x14ac:dyDescent="0.25">
      <c r="A622" s="175"/>
      <c r="B622" s="170"/>
      <c r="C622" s="210"/>
      <c r="D622" s="170"/>
      <c r="E622" s="176">
        <f t="shared" si="9"/>
        <v>662274.450000023</v>
      </c>
      <c r="F622" s="173"/>
      <c r="G622" s="174"/>
      <c r="H622" s="177"/>
      <c r="I622" s="197"/>
      <c r="J622" s="174"/>
      <c r="K622" s="66"/>
      <c r="L622" s="66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3.5" customHeight="1" x14ac:dyDescent="0.25">
      <c r="A623" s="175"/>
      <c r="B623" s="170"/>
      <c r="C623" s="170"/>
      <c r="D623" s="210"/>
      <c r="E623" s="176">
        <f t="shared" si="9"/>
        <v>662274.450000023</v>
      </c>
      <c r="F623" s="173"/>
      <c r="G623" s="174"/>
      <c r="H623" s="177"/>
      <c r="I623" s="197"/>
      <c r="J623" s="174"/>
      <c r="K623" s="66"/>
      <c r="L623" s="66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3.5" customHeight="1" x14ac:dyDescent="0.25">
      <c r="A624" s="175"/>
      <c r="B624" s="170"/>
      <c r="C624" s="170"/>
      <c r="D624" s="210"/>
      <c r="E624" s="176">
        <f t="shared" si="9"/>
        <v>662274.450000023</v>
      </c>
      <c r="F624" s="174"/>
      <c r="G624" s="174"/>
      <c r="H624" s="174"/>
      <c r="I624" s="174"/>
      <c r="J624" s="174"/>
      <c r="K624" s="66"/>
      <c r="L624" s="66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3.5" customHeight="1" x14ac:dyDescent="0.25">
      <c r="A625" s="175"/>
      <c r="B625" s="170"/>
      <c r="C625" s="170"/>
      <c r="D625" s="210"/>
      <c r="E625" s="176">
        <f t="shared" si="9"/>
        <v>662274.450000023</v>
      </c>
      <c r="F625" s="173"/>
      <c r="G625" s="174"/>
      <c r="H625" s="177"/>
      <c r="I625" s="197"/>
      <c r="J625" s="174"/>
      <c r="K625" s="66"/>
      <c r="L625" s="66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3.5" customHeight="1" x14ac:dyDescent="0.25">
      <c r="A626" s="175"/>
      <c r="B626" s="170"/>
      <c r="C626" s="210"/>
      <c r="D626" s="170"/>
      <c r="E626" s="176">
        <f t="shared" si="9"/>
        <v>662274.450000023</v>
      </c>
      <c r="F626" s="174"/>
      <c r="G626" s="174"/>
      <c r="H626" s="174"/>
      <c r="I626" s="174"/>
      <c r="J626" s="174"/>
      <c r="K626" s="66"/>
      <c r="L626" s="66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3.5" customHeight="1" x14ac:dyDescent="0.25">
      <c r="A627" s="175"/>
      <c r="B627" s="170"/>
      <c r="C627" s="210"/>
      <c r="D627" s="170"/>
      <c r="E627" s="176">
        <f t="shared" si="9"/>
        <v>662274.450000023</v>
      </c>
      <c r="F627" s="174"/>
      <c r="G627" s="174"/>
      <c r="H627" s="174"/>
      <c r="I627" s="174"/>
      <c r="J627" s="174"/>
      <c r="K627" s="66"/>
      <c r="L627" s="66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3.5" customHeight="1" x14ac:dyDescent="0.25">
      <c r="A628" s="175"/>
      <c r="B628" s="170"/>
      <c r="C628" s="210"/>
      <c r="D628" s="170"/>
      <c r="E628" s="176">
        <f t="shared" si="9"/>
        <v>662274.450000023</v>
      </c>
      <c r="F628" s="174"/>
      <c r="G628" s="174"/>
      <c r="H628" s="174"/>
      <c r="I628" s="174"/>
      <c r="J628" s="174"/>
      <c r="K628" s="66"/>
      <c r="L628" s="66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3.5" customHeight="1" x14ac:dyDescent="0.25">
      <c r="A629" s="175"/>
      <c r="B629" s="170"/>
      <c r="C629" s="210"/>
      <c r="D629" s="170"/>
      <c r="E629" s="176">
        <f t="shared" si="9"/>
        <v>662274.450000023</v>
      </c>
      <c r="F629" s="174"/>
      <c r="G629" s="174"/>
      <c r="H629" s="174"/>
      <c r="I629" s="174"/>
      <c r="J629" s="174"/>
      <c r="K629" s="66"/>
      <c r="L629" s="66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3.5" customHeight="1" x14ac:dyDescent="0.25">
      <c r="A630" s="175"/>
      <c r="B630" s="170"/>
      <c r="C630" s="210"/>
      <c r="D630" s="170"/>
      <c r="E630" s="176">
        <f t="shared" si="9"/>
        <v>662274.450000023</v>
      </c>
      <c r="F630" s="174"/>
      <c r="G630" s="174"/>
      <c r="H630" s="174"/>
      <c r="I630" s="174"/>
      <c r="J630" s="174"/>
      <c r="K630" s="66"/>
      <c r="L630" s="66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3.5" customHeight="1" x14ac:dyDescent="0.25">
      <c r="A631" s="175"/>
      <c r="B631" s="170"/>
      <c r="C631" s="210"/>
      <c r="D631" s="170"/>
      <c r="E631" s="176">
        <f t="shared" si="9"/>
        <v>662274.450000023</v>
      </c>
      <c r="F631" s="174"/>
      <c r="G631" s="174"/>
      <c r="H631" s="174"/>
      <c r="I631" s="174"/>
      <c r="J631" s="174"/>
      <c r="K631" s="66"/>
      <c r="L631" s="66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3.5" customHeight="1" x14ac:dyDescent="0.25">
      <c r="A632" s="175"/>
      <c r="B632" s="170"/>
      <c r="C632" s="210"/>
      <c r="D632" s="170"/>
      <c r="E632" s="176">
        <f t="shared" si="9"/>
        <v>662274.450000023</v>
      </c>
      <c r="F632" s="174"/>
      <c r="G632" s="174"/>
      <c r="H632" s="174"/>
      <c r="I632" s="174"/>
      <c r="J632" s="174"/>
      <c r="K632" s="66"/>
      <c r="L632" s="66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3.5" customHeight="1" x14ac:dyDescent="0.25">
      <c r="A633" s="175"/>
      <c r="B633" s="170"/>
      <c r="C633" s="210"/>
      <c r="D633" s="170"/>
      <c r="E633" s="176">
        <f t="shared" si="9"/>
        <v>662274.450000023</v>
      </c>
      <c r="F633" s="204"/>
      <c r="G633" s="181"/>
      <c r="H633" s="205"/>
      <c r="I633" s="181"/>
      <c r="J633" s="206"/>
      <c r="K633" s="66"/>
      <c r="L633" s="66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3.5" customHeight="1" x14ac:dyDescent="0.25">
      <c r="A634" s="175"/>
      <c r="B634" s="170"/>
      <c r="C634" s="210"/>
      <c r="D634" s="170"/>
      <c r="E634" s="176">
        <f t="shared" si="9"/>
        <v>662274.450000023</v>
      </c>
      <c r="F634" s="173"/>
      <c r="G634" s="174"/>
      <c r="H634" s="177"/>
      <c r="I634" s="197"/>
      <c r="J634" s="174"/>
      <c r="K634" s="66"/>
      <c r="L634" s="66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3.5" customHeight="1" x14ac:dyDescent="0.25">
      <c r="A635" s="175"/>
      <c r="B635" s="170"/>
      <c r="C635" s="210"/>
      <c r="D635" s="170"/>
      <c r="E635" s="176">
        <f t="shared" si="9"/>
        <v>662274.450000023</v>
      </c>
      <c r="F635" s="174"/>
      <c r="G635" s="174"/>
      <c r="H635" s="174"/>
      <c r="I635" s="174"/>
      <c r="J635" s="174"/>
      <c r="K635" s="66"/>
      <c r="L635" s="66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3.5" customHeight="1" x14ac:dyDescent="0.25">
      <c r="A636" s="175"/>
      <c r="B636" s="170"/>
      <c r="C636" s="210"/>
      <c r="D636" s="170"/>
      <c r="E636" s="176">
        <f t="shared" si="9"/>
        <v>662274.450000023</v>
      </c>
      <c r="F636" s="174"/>
      <c r="G636" s="174"/>
      <c r="H636" s="174"/>
      <c r="I636" s="174"/>
      <c r="J636" s="174"/>
      <c r="K636" s="66"/>
      <c r="L636" s="66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3.5" customHeight="1" x14ac:dyDescent="0.25">
      <c r="A637" s="175"/>
      <c r="B637" s="170"/>
      <c r="C637" s="210"/>
      <c r="D637" s="170"/>
      <c r="E637" s="176">
        <f t="shared" si="9"/>
        <v>662274.450000023</v>
      </c>
      <c r="F637" s="174"/>
      <c r="G637" s="174"/>
      <c r="H637" s="174"/>
      <c r="I637" s="174"/>
      <c r="J637" s="174"/>
      <c r="K637" s="66"/>
      <c r="L637" s="66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3.5" customHeight="1" x14ac:dyDescent="0.25">
      <c r="A638" s="175"/>
      <c r="B638" s="170"/>
      <c r="C638" s="210"/>
      <c r="D638" s="170"/>
      <c r="E638" s="176">
        <f t="shared" si="9"/>
        <v>662274.450000023</v>
      </c>
      <c r="F638" s="174"/>
      <c r="G638" s="174"/>
      <c r="H638" s="174"/>
      <c r="I638" s="174"/>
      <c r="J638" s="174"/>
      <c r="K638" s="66"/>
      <c r="L638" s="66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3.5" customHeight="1" x14ac:dyDescent="0.25">
      <c r="A639" s="175"/>
      <c r="B639" s="170"/>
      <c r="C639" s="210"/>
      <c r="D639" s="170"/>
      <c r="E639" s="176">
        <f t="shared" si="9"/>
        <v>662274.450000023</v>
      </c>
      <c r="F639" s="174"/>
      <c r="G639" s="174"/>
      <c r="H639" s="174"/>
      <c r="I639" s="174"/>
      <c r="J639" s="174"/>
      <c r="K639" s="66"/>
      <c r="L639" s="66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3.5" customHeight="1" x14ac:dyDescent="0.25">
      <c r="A640" s="175"/>
      <c r="B640" s="170"/>
      <c r="C640" s="210"/>
      <c r="D640" s="170"/>
      <c r="E640" s="176">
        <f t="shared" si="9"/>
        <v>662274.450000023</v>
      </c>
      <c r="F640" s="174"/>
      <c r="G640" s="174"/>
      <c r="H640" s="174"/>
      <c r="I640" s="174"/>
      <c r="J640" s="174"/>
      <c r="K640" s="66"/>
      <c r="L640" s="66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3.5" customHeight="1" x14ac:dyDescent="0.25">
      <c r="A641" s="175"/>
      <c r="B641" s="170"/>
      <c r="C641" s="210"/>
      <c r="D641" s="170"/>
      <c r="E641" s="176">
        <f t="shared" si="9"/>
        <v>662274.450000023</v>
      </c>
      <c r="F641" s="174"/>
      <c r="G641" s="174"/>
      <c r="H641" s="174"/>
      <c r="I641" s="174"/>
      <c r="J641" s="174"/>
      <c r="K641" s="66"/>
      <c r="L641" s="66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3.5" customHeight="1" x14ac:dyDescent="0.25">
      <c r="A642" s="175"/>
      <c r="B642" s="170"/>
      <c r="C642" s="210"/>
      <c r="D642" s="170"/>
      <c r="E642" s="176">
        <f t="shared" si="9"/>
        <v>662274.450000023</v>
      </c>
      <c r="F642" s="211"/>
      <c r="G642" s="183"/>
      <c r="H642" s="212"/>
      <c r="I642" s="183"/>
      <c r="J642" s="213"/>
      <c r="K642" s="66"/>
      <c r="L642" s="66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3.5" customHeight="1" x14ac:dyDescent="0.25">
      <c r="A643" s="175"/>
      <c r="B643" s="170"/>
      <c r="C643" s="210"/>
      <c r="D643" s="170"/>
      <c r="E643" s="176">
        <f t="shared" si="9"/>
        <v>662274.450000023</v>
      </c>
      <c r="F643" s="174"/>
      <c r="G643" s="174"/>
      <c r="H643" s="174"/>
      <c r="I643" s="174"/>
      <c r="J643" s="174"/>
      <c r="K643" s="66"/>
      <c r="L643" s="66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3.5" customHeight="1" x14ac:dyDescent="0.25">
      <c r="A644" s="175"/>
      <c r="B644" s="170"/>
      <c r="C644" s="210"/>
      <c r="D644" s="170"/>
      <c r="E644" s="176">
        <f t="shared" si="9"/>
        <v>662274.450000023</v>
      </c>
      <c r="F644" s="174"/>
      <c r="G644" s="174"/>
      <c r="H644" s="174"/>
      <c r="I644" s="174"/>
      <c r="J644" s="174"/>
      <c r="K644" s="66"/>
      <c r="L644" s="66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3.5" customHeight="1" x14ac:dyDescent="0.25">
      <c r="A645" s="175"/>
      <c r="B645" s="170"/>
      <c r="C645" s="210"/>
      <c r="D645" s="170"/>
      <c r="E645" s="176">
        <f t="shared" si="9"/>
        <v>662274.450000023</v>
      </c>
      <c r="F645" s="174"/>
      <c r="G645" s="174"/>
      <c r="H645" s="174"/>
      <c r="I645" s="174"/>
      <c r="J645" s="174"/>
      <c r="K645" s="66"/>
      <c r="L645" s="66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3.5" customHeight="1" x14ac:dyDescent="0.25">
      <c r="A646" s="175"/>
      <c r="B646" s="170"/>
      <c r="C646" s="210"/>
      <c r="D646" s="170"/>
      <c r="E646" s="176">
        <f t="shared" si="9"/>
        <v>662274.450000023</v>
      </c>
      <c r="F646" s="173"/>
      <c r="G646" s="174"/>
      <c r="H646" s="177"/>
      <c r="I646" s="197"/>
      <c r="J646" s="174"/>
      <c r="K646" s="66"/>
      <c r="L646" s="66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3.5" customHeight="1" x14ac:dyDescent="0.25">
      <c r="A647" s="175"/>
      <c r="B647" s="170"/>
      <c r="C647" s="210"/>
      <c r="D647" s="170"/>
      <c r="E647" s="176">
        <f t="shared" si="9"/>
        <v>662274.450000023</v>
      </c>
      <c r="F647" s="173"/>
      <c r="G647" s="174"/>
      <c r="H647" s="177"/>
      <c r="I647" s="197"/>
      <c r="J647" s="174"/>
      <c r="K647" s="66"/>
      <c r="L647" s="66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3.5" customHeight="1" x14ac:dyDescent="0.25">
      <c r="A648" s="175"/>
      <c r="B648" s="170"/>
      <c r="C648" s="210"/>
      <c r="D648" s="170"/>
      <c r="E648" s="176">
        <f t="shared" ref="E648:E711" si="10">E647-C648+D648</f>
        <v>662274.450000023</v>
      </c>
      <c r="F648" s="173"/>
      <c r="G648" s="174"/>
      <c r="H648" s="177"/>
      <c r="I648" s="197"/>
      <c r="J648" s="174"/>
      <c r="K648" s="66"/>
      <c r="L648" s="66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3.5" customHeight="1" x14ac:dyDescent="0.25">
      <c r="A649" s="175"/>
      <c r="B649" s="170"/>
      <c r="C649" s="210"/>
      <c r="D649" s="170"/>
      <c r="E649" s="176">
        <f t="shared" si="10"/>
        <v>662274.450000023</v>
      </c>
      <c r="F649" s="174"/>
      <c r="G649" s="174"/>
      <c r="H649" s="174"/>
      <c r="I649" s="174"/>
      <c r="J649" s="174"/>
      <c r="K649" s="66"/>
      <c r="L649" s="66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3.5" customHeight="1" x14ac:dyDescent="0.25">
      <c r="A650" s="175"/>
      <c r="B650" s="170"/>
      <c r="C650" s="210"/>
      <c r="D650" s="170"/>
      <c r="E650" s="176">
        <f t="shared" si="10"/>
        <v>662274.450000023</v>
      </c>
      <c r="F650" s="204"/>
      <c r="G650" s="181"/>
      <c r="H650" s="205"/>
      <c r="I650" s="181"/>
      <c r="J650" s="206"/>
      <c r="K650" s="66"/>
      <c r="L650" s="66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3.5" customHeight="1" x14ac:dyDescent="0.25">
      <c r="A651" s="175"/>
      <c r="B651" s="170"/>
      <c r="C651" s="210"/>
      <c r="D651" s="170"/>
      <c r="E651" s="176">
        <f t="shared" si="10"/>
        <v>662274.450000023</v>
      </c>
      <c r="F651" s="174"/>
      <c r="G651" s="174"/>
      <c r="H651" s="174"/>
      <c r="I651" s="174"/>
      <c r="J651" s="174"/>
      <c r="K651" s="66"/>
      <c r="L651" s="66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3.5" customHeight="1" x14ac:dyDescent="0.25">
      <c r="A652" s="175"/>
      <c r="B652" s="170"/>
      <c r="C652" s="210"/>
      <c r="D652" s="170"/>
      <c r="E652" s="176">
        <f t="shared" si="10"/>
        <v>662274.450000023</v>
      </c>
      <c r="F652" s="173"/>
      <c r="G652" s="174"/>
      <c r="H652" s="177"/>
      <c r="I652" s="197"/>
      <c r="J652" s="174"/>
      <c r="K652" s="66"/>
      <c r="L652" s="66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3.5" customHeight="1" x14ac:dyDescent="0.25">
      <c r="A653" s="175"/>
      <c r="B653" s="170"/>
      <c r="C653" s="210"/>
      <c r="D653" s="170"/>
      <c r="E653" s="176">
        <f t="shared" si="10"/>
        <v>662274.450000023</v>
      </c>
      <c r="F653" s="174"/>
      <c r="G653" s="174"/>
      <c r="H653" s="174"/>
      <c r="I653" s="174"/>
      <c r="J653" s="174"/>
      <c r="K653" s="66"/>
      <c r="L653" s="66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3.5" customHeight="1" x14ac:dyDescent="0.25">
      <c r="A654" s="175"/>
      <c r="B654" s="170"/>
      <c r="C654" s="210"/>
      <c r="D654" s="170"/>
      <c r="E654" s="176">
        <f t="shared" si="10"/>
        <v>662274.450000023</v>
      </c>
      <c r="F654" s="174"/>
      <c r="G654" s="174"/>
      <c r="H654" s="174"/>
      <c r="I654" s="174"/>
      <c r="J654" s="174"/>
      <c r="K654" s="66"/>
      <c r="L654" s="66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3.5" customHeight="1" x14ac:dyDescent="0.25">
      <c r="A655" s="175"/>
      <c r="B655" s="170"/>
      <c r="C655" s="210"/>
      <c r="D655" s="170"/>
      <c r="E655" s="176">
        <f t="shared" si="10"/>
        <v>662274.450000023</v>
      </c>
      <c r="F655" s="204"/>
      <c r="G655" s="181"/>
      <c r="H655" s="205"/>
      <c r="I655" s="181"/>
      <c r="J655" s="206"/>
      <c r="K655" s="66"/>
      <c r="L655" s="66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3.5" customHeight="1" x14ac:dyDescent="0.25">
      <c r="A656" s="175"/>
      <c r="B656" s="170"/>
      <c r="C656" s="170"/>
      <c r="D656" s="210"/>
      <c r="E656" s="176">
        <f t="shared" si="10"/>
        <v>662274.450000023</v>
      </c>
      <c r="F656" s="173"/>
      <c r="G656" s="174"/>
      <c r="H656" s="177"/>
      <c r="I656" s="197"/>
      <c r="J656" s="174"/>
      <c r="K656" s="66"/>
      <c r="L656" s="66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3.5" customHeight="1" x14ac:dyDescent="0.25">
      <c r="A657" s="175"/>
      <c r="B657" s="170"/>
      <c r="C657" s="170"/>
      <c r="D657" s="210"/>
      <c r="E657" s="176">
        <f t="shared" si="10"/>
        <v>662274.450000023</v>
      </c>
      <c r="F657" s="173"/>
      <c r="G657" s="174"/>
      <c r="H657" s="177"/>
      <c r="I657" s="197"/>
      <c r="J657" s="174"/>
      <c r="K657" s="66"/>
      <c r="L657" s="66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3.5" customHeight="1" x14ac:dyDescent="0.25">
      <c r="A658" s="175"/>
      <c r="B658" s="170"/>
      <c r="C658" s="170"/>
      <c r="D658" s="210"/>
      <c r="E658" s="176">
        <f t="shared" si="10"/>
        <v>662274.450000023</v>
      </c>
      <c r="F658" s="173"/>
      <c r="G658" s="174"/>
      <c r="H658" s="177"/>
      <c r="I658" s="197"/>
      <c r="J658" s="174"/>
      <c r="K658" s="66"/>
      <c r="L658" s="66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3.5" customHeight="1" x14ac:dyDescent="0.25">
      <c r="A659" s="175"/>
      <c r="B659" s="170"/>
      <c r="C659" s="210"/>
      <c r="D659" s="170"/>
      <c r="E659" s="176">
        <f t="shared" si="10"/>
        <v>662274.450000023</v>
      </c>
      <c r="F659" s="174"/>
      <c r="G659" s="174"/>
      <c r="H659" s="174"/>
      <c r="I659" s="174"/>
      <c r="J659" s="174"/>
      <c r="K659" s="66"/>
      <c r="L659" s="66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3.5" customHeight="1" x14ac:dyDescent="0.25">
      <c r="A660" s="175"/>
      <c r="B660" s="170"/>
      <c r="C660" s="210"/>
      <c r="D660" s="170"/>
      <c r="E660" s="176">
        <f t="shared" si="10"/>
        <v>662274.450000023</v>
      </c>
      <c r="F660" s="174"/>
      <c r="G660" s="174"/>
      <c r="H660" s="174"/>
      <c r="I660" s="174"/>
      <c r="J660" s="174"/>
      <c r="K660" s="66"/>
      <c r="L660" s="66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3.5" customHeight="1" x14ac:dyDescent="0.25">
      <c r="A661" s="175"/>
      <c r="B661" s="170"/>
      <c r="C661" s="210"/>
      <c r="D661" s="170"/>
      <c r="E661" s="176">
        <f t="shared" si="10"/>
        <v>662274.450000023</v>
      </c>
      <c r="F661" s="174"/>
      <c r="G661" s="174"/>
      <c r="H661" s="174"/>
      <c r="I661" s="174"/>
      <c r="J661" s="174"/>
      <c r="K661" s="66"/>
      <c r="L661" s="66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3.5" customHeight="1" x14ac:dyDescent="0.25">
      <c r="A662" s="175"/>
      <c r="B662" s="170"/>
      <c r="C662" s="210"/>
      <c r="D662" s="170"/>
      <c r="E662" s="176">
        <f t="shared" si="10"/>
        <v>662274.450000023</v>
      </c>
      <c r="F662" s="174"/>
      <c r="G662" s="174"/>
      <c r="H662" s="174"/>
      <c r="I662" s="174"/>
      <c r="J662" s="174"/>
      <c r="K662" s="66"/>
      <c r="L662" s="66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3.5" customHeight="1" x14ac:dyDescent="0.25">
      <c r="A663" s="175"/>
      <c r="B663" s="170"/>
      <c r="C663" s="210"/>
      <c r="D663" s="170"/>
      <c r="E663" s="176">
        <f t="shared" si="10"/>
        <v>662274.450000023</v>
      </c>
      <c r="F663" s="174"/>
      <c r="G663" s="174"/>
      <c r="H663" s="174"/>
      <c r="I663" s="174"/>
      <c r="J663" s="174"/>
      <c r="K663" s="66"/>
      <c r="L663" s="66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3.5" customHeight="1" x14ac:dyDescent="0.25">
      <c r="A664" s="175"/>
      <c r="B664" s="170"/>
      <c r="C664" s="210"/>
      <c r="D664" s="170"/>
      <c r="E664" s="176">
        <f t="shared" si="10"/>
        <v>662274.450000023</v>
      </c>
      <c r="F664" s="204"/>
      <c r="G664" s="181"/>
      <c r="H664" s="205"/>
      <c r="I664" s="181"/>
      <c r="J664" s="206"/>
      <c r="K664" s="66"/>
      <c r="L664" s="66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3.5" customHeight="1" x14ac:dyDescent="0.25">
      <c r="A665" s="175"/>
      <c r="B665" s="170"/>
      <c r="C665" s="210"/>
      <c r="D665" s="170"/>
      <c r="E665" s="176">
        <f t="shared" si="10"/>
        <v>662274.450000023</v>
      </c>
      <c r="F665" s="174"/>
      <c r="G665" s="174"/>
      <c r="H665" s="174"/>
      <c r="I665" s="174"/>
      <c r="J665" s="174"/>
      <c r="K665" s="66"/>
      <c r="L665" s="66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3.5" customHeight="1" x14ac:dyDescent="0.25">
      <c r="A666" s="175"/>
      <c r="B666" s="170"/>
      <c r="C666" s="210"/>
      <c r="D666" s="170"/>
      <c r="E666" s="176">
        <f t="shared" si="10"/>
        <v>662274.450000023</v>
      </c>
      <c r="F666" s="174"/>
      <c r="G666" s="174"/>
      <c r="H666" s="174"/>
      <c r="I666" s="174"/>
      <c r="J666" s="174"/>
      <c r="K666" s="66"/>
      <c r="L666" s="66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3.5" customHeight="1" x14ac:dyDescent="0.25">
      <c r="A667" s="175"/>
      <c r="B667" s="170"/>
      <c r="C667" s="210"/>
      <c r="D667" s="170"/>
      <c r="E667" s="176">
        <f t="shared" si="10"/>
        <v>662274.450000023</v>
      </c>
      <c r="F667" s="174"/>
      <c r="G667" s="174"/>
      <c r="H667" s="174"/>
      <c r="I667" s="174"/>
      <c r="J667" s="174"/>
      <c r="K667" s="66"/>
      <c r="L667" s="66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3.5" customHeight="1" x14ac:dyDescent="0.25">
      <c r="A668" s="175"/>
      <c r="B668" s="170"/>
      <c r="C668" s="210"/>
      <c r="D668" s="170"/>
      <c r="E668" s="176">
        <f t="shared" si="10"/>
        <v>662274.450000023</v>
      </c>
      <c r="F668" s="174"/>
      <c r="G668" s="174"/>
      <c r="H668" s="174"/>
      <c r="I668" s="174"/>
      <c r="J668" s="174"/>
      <c r="K668" s="66"/>
      <c r="L668" s="66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3.5" customHeight="1" x14ac:dyDescent="0.25">
      <c r="A669" s="175"/>
      <c r="B669" s="170"/>
      <c r="C669" s="210"/>
      <c r="D669" s="170"/>
      <c r="E669" s="176">
        <f t="shared" si="10"/>
        <v>662274.450000023</v>
      </c>
      <c r="F669" s="174"/>
      <c r="G669" s="174"/>
      <c r="H669" s="174"/>
      <c r="I669" s="174"/>
      <c r="J669" s="174"/>
      <c r="K669" s="66"/>
      <c r="L669" s="66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3.5" customHeight="1" x14ac:dyDescent="0.25">
      <c r="A670" s="175"/>
      <c r="B670" s="170"/>
      <c r="C670" s="210"/>
      <c r="D670" s="170"/>
      <c r="E670" s="176">
        <f t="shared" si="10"/>
        <v>662274.450000023</v>
      </c>
      <c r="F670" s="174"/>
      <c r="G670" s="174"/>
      <c r="H670" s="174"/>
      <c r="I670" s="174"/>
      <c r="J670" s="174"/>
      <c r="K670" s="66"/>
      <c r="L670" s="66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3.5" customHeight="1" x14ac:dyDescent="0.25">
      <c r="A671" s="175"/>
      <c r="B671" s="170"/>
      <c r="C671" s="210"/>
      <c r="D671" s="170"/>
      <c r="E671" s="176">
        <f t="shared" si="10"/>
        <v>662274.450000023</v>
      </c>
      <c r="F671" s="211"/>
      <c r="G671" s="183"/>
      <c r="H671" s="212"/>
      <c r="I671" s="183"/>
      <c r="J671" s="213"/>
      <c r="K671" s="66"/>
      <c r="L671" s="66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3.5" customHeight="1" x14ac:dyDescent="0.25">
      <c r="A672" s="175"/>
      <c r="B672" s="170"/>
      <c r="C672" s="210"/>
      <c r="D672" s="170"/>
      <c r="E672" s="176">
        <f t="shared" si="10"/>
        <v>662274.450000023</v>
      </c>
      <c r="F672" s="173"/>
      <c r="G672" s="199"/>
      <c r="H672" s="192"/>
      <c r="I672" s="197"/>
      <c r="J672" s="174"/>
      <c r="K672" s="66"/>
      <c r="L672" s="66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3.5" customHeight="1" x14ac:dyDescent="0.25">
      <c r="A673" s="175"/>
      <c r="B673" s="170"/>
      <c r="C673" s="210"/>
      <c r="D673" s="170"/>
      <c r="E673" s="176">
        <f t="shared" si="10"/>
        <v>662274.450000023</v>
      </c>
      <c r="F673" s="173"/>
      <c r="G673" s="199"/>
      <c r="H673" s="192"/>
      <c r="I673" s="197"/>
      <c r="J673" s="174"/>
      <c r="K673" s="66"/>
      <c r="L673" s="66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3.5" customHeight="1" x14ac:dyDescent="0.25">
      <c r="A674" s="175"/>
      <c r="B674" s="170"/>
      <c r="C674" s="210"/>
      <c r="D674" s="170"/>
      <c r="E674" s="176">
        <f t="shared" si="10"/>
        <v>662274.450000023</v>
      </c>
      <c r="F674" s="174"/>
      <c r="G674" s="174"/>
      <c r="H674" s="174"/>
      <c r="I674" s="174"/>
      <c r="J674" s="174"/>
      <c r="K674" s="66"/>
      <c r="L674" s="66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3.5" customHeight="1" x14ac:dyDescent="0.25">
      <c r="A675" s="175"/>
      <c r="B675" s="170"/>
      <c r="C675" s="210"/>
      <c r="D675" s="170"/>
      <c r="E675" s="176">
        <f t="shared" si="10"/>
        <v>662274.450000023</v>
      </c>
      <c r="F675" s="207"/>
      <c r="G675" s="181"/>
      <c r="H675" s="205"/>
      <c r="I675" s="181"/>
      <c r="J675" s="209"/>
      <c r="K675" s="66"/>
      <c r="L675" s="66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3.5" customHeight="1" x14ac:dyDescent="0.25">
      <c r="A676" s="175"/>
      <c r="B676" s="170"/>
      <c r="C676" s="210"/>
      <c r="D676" s="170"/>
      <c r="E676" s="176">
        <f t="shared" si="10"/>
        <v>662274.450000023</v>
      </c>
      <c r="F676" s="174"/>
      <c r="G676" s="174"/>
      <c r="H676" s="174"/>
      <c r="I676" s="174"/>
      <c r="J676" s="174"/>
      <c r="K676" s="66"/>
      <c r="L676" s="66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3.5" customHeight="1" x14ac:dyDescent="0.25">
      <c r="A677" s="175"/>
      <c r="B677" s="170"/>
      <c r="C677" s="210"/>
      <c r="D677" s="170"/>
      <c r="E677" s="176">
        <f t="shared" si="10"/>
        <v>662274.450000023</v>
      </c>
      <c r="F677" s="174"/>
      <c r="G677" s="174"/>
      <c r="H677" s="174"/>
      <c r="I677" s="174"/>
      <c r="J677" s="174"/>
      <c r="K677" s="66"/>
      <c r="L677" s="66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3.5" customHeight="1" x14ac:dyDescent="0.25">
      <c r="A678" s="175"/>
      <c r="B678" s="170"/>
      <c r="C678" s="210"/>
      <c r="D678" s="170"/>
      <c r="E678" s="176">
        <f t="shared" si="10"/>
        <v>662274.450000023</v>
      </c>
      <c r="F678" s="174"/>
      <c r="G678" s="174"/>
      <c r="H678" s="174"/>
      <c r="I678" s="174"/>
      <c r="J678" s="174"/>
      <c r="K678" s="66"/>
      <c r="L678" s="66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3.5" customHeight="1" x14ac:dyDescent="0.25">
      <c r="A679" s="175"/>
      <c r="B679" s="170"/>
      <c r="C679" s="210"/>
      <c r="D679" s="170"/>
      <c r="E679" s="176">
        <f t="shared" si="10"/>
        <v>662274.450000023</v>
      </c>
      <c r="F679" s="174"/>
      <c r="G679" s="174"/>
      <c r="H679" s="174"/>
      <c r="I679" s="174"/>
      <c r="J679" s="174"/>
      <c r="K679" s="66"/>
      <c r="L679" s="66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3.5" customHeight="1" x14ac:dyDescent="0.25">
      <c r="A680" s="175"/>
      <c r="B680" s="170"/>
      <c r="C680" s="210"/>
      <c r="D680" s="170"/>
      <c r="E680" s="176">
        <f t="shared" si="10"/>
        <v>662274.450000023</v>
      </c>
      <c r="F680" s="174"/>
      <c r="G680" s="174"/>
      <c r="H680" s="174"/>
      <c r="I680" s="174"/>
      <c r="J680" s="174"/>
      <c r="K680" s="66"/>
      <c r="L680" s="66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3.5" customHeight="1" x14ac:dyDescent="0.25">
      <c r="A681" s="175"/>
      <c r="B681" s="170"/>
      <c r="C681" s="210"/>
      <c r="D681" s="170"/>
      <c r="E681" s="176">
        <f t="shared" si="10"/>
        <v>662274.450000023</v>
      </c>
      <c r="F681" s="174"/>
      <c r="G681" s="174"/>
      <c r="H681" s="174"/>
      <c r="I681" s="174"/>
      <c r="J681" s="174"/>
      <c r="K681" s="66"/>
      <c r="L681" s="66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3.5" customHeight="1" x14ac:dyDescent="0.25">
      <c r="A682" s="175"/>
      <c r="B682" s="170"/>
      <c r="C682" s="210"/>
      <c r="D682" s="170"/>
      <c r="E682" s="176">
        <f t="shared" si="10"/>
        <v>662274.450000023</v>
      </c>
      <c r="F682" s="174"/>
      <c r="G682" s="174"/>
      <c r="H682" s="174"/>
      <c r="I682" s="174"/>
      <c r="J682" s="174"/>
      <c r="K682" s="66"/>
      <c r="L682" s="66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3.5" customHeight="1" x14ac:dyDescent="0.25">
      <c r="A683" s="175"/>
      <c r="B683" s="170"/>
      <c r="C683" s="210"/>
      <c r="D683" s="170"/>
      <c r="E683" s="176">
        <f t="shared" si="10"/>
        <v>662274.450000023</v>
      </c>
      <c r="F683" s="174"/>
      <c r="G683" s="174"/>
      <c r="H683" s="174"/>
      <c r="I683" s="174"/>
      <c r="J683" s="174"/>
      <c r="K683" s="66"/>
      <c r="L683" s="66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3.5" customHeight="1" x14ac:dyDescent="0.25">
      <c r="A684" s="175"/>
      <c r="B684" s="170"/>
      <c r="C684" s="210"/>
      <c r="D684" s="170"/>
      <c r="E684" s="176">
        <f t="shared" si="10"/>
        <v>662274.450000023</v>
      </c>
      <c r="F684" s="174"/>
      <c r="G684" s="174"/>
      <c r="H684" s="174"/>
      <c r="I684" s="174"/>
      <c r="J684" s="174"/>
      <c r="K684" s="66"/>
      <c r="L684" s="66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5" customHeight="1" x14ac:dyDescent="0.25">
      <c r="A685" s="175"/>
      <c r="B685" s="170"/>
      <c r="C685" s="210"/>
      <c r="D685" s="170"/>
      <c r="E685" s="176">
        <f t="shared" si="10"/>
        <v>662274.450000023</v>
      </c>
      <c r="F685" s="173"/>
      <c r="G685" s="199"/>
      <c r="H685" s="203"/>
      <c r="I685" s="178"/>
      <c r="J685" s="174"/>
      <c r="K685" s="126"/>
      <c r="L685" s="66"/>
      <c r="M685" s="45"/>
    </row>
    <row r="686" spans="1:26" ht="15" customHeight="1" x14ac:dyDescent="0.25">
      <c r="A686" s="175"/>
      <c r="B686" s="170"/>
      <c r="C686" s="210"/>
      <c r="D686" s="170"/>
      <c r="E686" s="176">
        <f t="shared" si="10"/>
        <v>662274.450000023</v>
      </c>
      <c r="F686" s="173"/>
      <c r="G686" s="199"/>
      <c r="H686" s="192"/>
      <c r="I686" s="197"/>
      <c r="J686" s="174"/>
      <c r="K686" s="67"/>
      <c r="L686" s="66"/>
      <c r="M686" s="45"/>
    </row>
    <row r="687" spans="1:26" ht="15" customHeight="1" x14ac:dyDescent="0.25">
      <c r="A687" s="175"/>
      <c r="B687" s="170"/>
      <c r="C687" s="210"/>
      <c r="D687" s="170"/>
      <c r="E687" s="176">
        <f t="shared" si="10"/>
        <v>662274.450000023</v>
      </c>
      <c r="F687" s="174"/>
      <c r="G687" s="174"/>
      <c r="H687" s="174"/>
      <c r="I687" s="174"/>
      <c r="J687" s="174"/>
      <c r="K687" s="66"/>
      <c r="L687" s="66"/>
      <c r="M687" s="45"/>
    </row>
    <row r="688" spans="1:26" ht="15" customHeight="1" x14ac:dyDescent="0.25">
      <c r="A688" s="175"/>
      <c r="B688" s="170"/>
      <c r="C688" s="210"/>
      <c r="D688" s="170"/>
      <c r="E688" s="176">
        <f t="shared" si="10"/>
        <v>662274.450000023</v>
      </c>
      <c r="F688" s="173"/>
      <c r="G688" s="199"/>
      <c r="H688" s="203"/>
      <c r="I688" s="197"/>
      <c r="J688" s="174"/>
      <c r="K688" s="66"/>
      <c r="L688" s="66"/>
      <c r="M688" s="45"/>
    </row>
    <row r="689" spans="1:13" ht="14.25" customHeight="1" x14ac:dyDescent="0.25">
      <c r="A689" s="175"/>
      <c r="B689" s="170"/>
      <c r="C689" s="210"/>
      <c r="D689" s="170"/>
      <c r="E689" s="176">
        <f t="shared" si="10"/>
        <v>662274.450000023</v>
      </c>
      <c r="F689" s="174"/>
      <c r="G689" s="174"/>
      <c r="H689" s="174"/>
      <c r="I689" s="174"/>
      <c r="J689" s="174"/>
      <c r="K689" s="66"/>
      <c r="L689" s="66"/>
      <c r="M689" s="45"/>
    </row>
    <row r="690" spans="1:13" ht="15" customHeight="1" x14ac:dyDescent="0.25">
      <c r="A690" s="175"/>
      <c r="B690" s="170"/>
      <c r="C690" s="210"/>
      <c r="D690" s="170"/>
      <c r="E690" s="176">
        <f t="shared" si="10"/>
        <v>662274.450000023</v>
      </c>
      <c r="F690" s="174"/>
      <c r="G690" s="174"/>
      <c r="H690" s="174"/>
      <c r="I690" s="174"/>
      <c r="J690" s="174"/>
      <c r="K690" s="66"/>
      <c r="L690" s="66"/>
      <c r="M690" s="45"/>
    </row>
    <row r="691" spans="1:13" ht="15" customHeight="1" x14ac:dyDescent="0.25">
      <c r="A691" s="175"/>
      <c r="B691" s="170"/>
      <c r="C691" s="210"/>
      <c r="D691" s="170"/>
      <c r="E691" s="176">
        <f t="shared" si="10"/>
        <v>662274.450000023</v>
      </c>
      <c r="F691" s="174"/>
      <c r="G691" s="174"/>
      <c r="H691" s="174"/>
      <c r="I691" s="174"/>
      <c r="J691" s="174"/>
      <c r="K691" s="66"/>
      <c r="L691" s="66"/>
      <c r="M691" s="45"/>
    </row>
    <row r="692" spans="1:13" ht="15" customHeight="1" x14ac:dyDescent="0.25">
      <c r="A692" s="175"/>
      <c r="B692" s="170"/>
      <c r="C692" s="210"/>
      <c r="D692" s="170"/>
      <c r="E692" s="176">
        <f t="shared" si="10"/>
        <v>662274.450000023</v>
      </c>
      <c r="F692" s="174"/>
      <c r="G692" s="174"/>
      <c r="H692" s="174"/>
      <c r="I692" s="174"/>
      <c r="J692" s="174"/>
      <c r="K692" s="66"/>
      <c r="L692" s="66"/>
      <c r="M692" s="45"/>
    </row>
    <row r="693" spans="1:13" ht="15" customHeight="1" x14ac:dyDescent="0.25">
      <c r="A693" s="175"/>
      <c r="B693" s="170"/>
      <c r="C693" s="210"/>
      <c r="D693" s="170"/>
      <c r="E693" s="176">
        <f t="shared" si="10"/>
        <v>662274.450000023</v>
      </c>
      <c r="F693" s="174"/>
      <c r="G693" s="174"/>
      <c r="H693" s="174"/>
      <c r="I693" s="174"/>
      <c r="J693" s="174"/>
      <c r="K693" s="66"/>
      <c r="L693" s="66"/>
      <c r="M693" s="45"/>
    </row>
    <row r="694" spans="1:13" ht="15" customHeight="1" x14ac:dyDescent="0.25">
      <c r="A694" s="175"/>
      <c r="B694" s="170"/>
      <c r="C694" s="210"/>
      <c r="D694" s="170"/>
      <c r="E694" s="176">
        <f t="shared" si="10"/>
        <v>662274.450000023</v>
      </c>
      <c r="F694" s="207"/>
      <c r="G694" s="181"/>
      <c r="H694" s="205"/>
      <c r="I694" s="181"/>
      <c r="J694" s="209"/>
      <c r="K694" s="66"/>
      <c r="L694" s="66"/>
      <c r="M694" s="45"/>
    </row>
    <row r="695" spans="1:13" ht="15" customHeight="1" x14ac:dyDescent="0.25">
      <c r="A695" s="175"/>
      <c r="B695" s="170"/>
      <c r="C695" s="210"/>
      <c r="D695" s="170"/>
      <c r="E695" s="176">
        <f t="shared" si="10"/>
        <v>662274.450000023</v>
      </c>
      <c r="F695" s="174"/>
      <c r="G695" s="174"/>
      <c r="H695" s="174"/>
      <c r="I695" s="174"/>
      <c r="J695" s="174"/>
      <c r="K695" s="66"/>
      <c r="L695" s="66"/>
      <c r="M695" s="45"/>
    </row>
    <row r="696" spans="1:13" ht="15" customHeight="1" x14ac:dyDescent="0.25">
      <c r="A696" s="175"/>
      <c r="B696" s="170"/>
      <c r="C696" s="210"/>
      <c r="D696" s="170"/>
      <c r="E696" s="176">
        <f t="shared" si="10"/>
        <v>662274.450000023</v>
      </c>
      <c r="F696" s="174"/>
      <c r="G696" s="174"/>
      <c r="H696" s="174"/>
      <c r="I696" s="174"/>
      <c r="J696" s="174"/>
      <c r="K696" s="66"/>
      <c r="L696" s="66"/>
      <c r="M696" s="45"/>
    </row>
    <row r="697" spans="1:13" ht="15" customHeight="1" x14ac:dyDescent="0.25">
      <c r="A697" s="175"/>
      <c r="B697" s="170"/>
      <c r="C697" s="210"/>
      <c r="D697" s="170"/>
      <c r="E697" s="176">
        <f t="shared" si="10"/>
        <v>662274.450000023</v>
      </c>
      <c r="F697" s="174"/>
      <c r="G697" s="174"/>
      <c r="H697" s="174"/>
      <c r="I697" s="174"/>
      <c r="J697" s="174"/>
      <c r="K697" s="66"/>
      <c r="L697" s="66"/>
      <c r="M697" s="45"/>
    </row>
    <row r="698" spans="1:13" ht="15" customHeight="1" x14ac:dyDescent="0.25">
      <c r="A698" s="175"/>
      <c r="B698" s="170"/>
      <c r="C698" s="210"/>
      <c r="D698" s="170"/>
      <c r="E698" s="176">
        <f t="shared" si="10"/>
        <v>662274.450000023</v>
      </c>
      <c r="F698" s="173"/>
      <c r="G698" s="199"/>
      <c r="H698" s="203"/>
      <c r="I698" s="197"/>
      <c r="J698" s="174"/>
      <c r="K698" s="67"/>
      <c r="L698" s="66"/>
      <c r="M698" s="45"/>
    </row>
    <row r="699" spans="1:13" ht="15" customHeight="1" x14ac:dyDescent="0.25">
      <c r="A699" s="175"/>
      <c r="B699" s="170"/>
      <c r="C699" s="210"/>
      <c r="D699" s="170"/>
      <c r="E699" s="176">
        <f t="shared" si="10"/>
        <v>662274.450000023</v>
      </c>
      <c r="F699" s="174"/>
      <c r="G699" s="174"/>
      <c r="H699" s="174"/>
      <c r="I699" s="174"/>
      <c r="J699" s="174"/>
      <c r="K699" s="66"/>
      <c r="L699" s="66"/>
      <c r="M699" s="45"/>
    </row>
    <row r="700" spans="1:13" ht="15" customHeight="1" x14ac:dyDescent="0.25">
      <c r="A700" s="175"/>
      <c r="B700" s="170"/>
      <c r="C700" s="210"/>
      <c r="D700" s="170"/>
      <c r="E700" s="176">
        <f t="shared" si="10"/>
        <v>662274.450000023</v>
      </c>
      <c r="F700" s="204"/>
      <c r="G700" s="181"/>
      <c r="H700" s="205"/>
      <c r="I700" s="181"/>
      <c r="J700" s="206"/>
      <c r="K700" s="66"/>
      <c r="L700" s="66"/>
      <c r="M700" s="45"/>
    </row>
    <row r="701" spans="1:13" ht="15" customHeight="1" x14ac:dyDescent="0.25">
      <c r="A701" s="175"/>
      <c r="B701" s="170"/>
      <c r="C701" s="210"/>
      <c r="D701" s="170"/>
      <c r="E701" s="176">
        <f t="shared" si="10"/>
        <v>662274.450000023</v>
      </c>
      <c r="F701" s="173"/>
      <c r="G701" s="199"/>
      <c r="H701" s="192"/>
      <c r="I701" s="197"/>
      <c r="J701" s="174"/>
      <c r="K701" s="66"/>
      <c r="L701" s="66"/>
      <c r="M701" s="45"/>
    </row>
    <row r="702" spans="1:13" ht="15" customHeight="1" x14ac:dyDescent="0.25">
      <c r="A702" s="175"/>
      <c r="B702" s="170"/>
      <c r="C702" s="210"/>
      <c r="D702" s="170"/>
      <c r="E702" s="176">
        <f t="shared" si="10"/>
        <v>662274.450000023</v>
      </c>
      <c r="F702" s="173"/>
      <c r="G702" s="199"/>
      <c r="H702" s="192"/>
      <c r="I702" s="197"/>
      <c r="J702" s="174"/>
      <c r="K702" s="66"/>
      <c r="L702" s="66"/>
      <c r="M702" s="45"/>
    </row>
    <row r="703" spans="1:13" ht="15" customHeight="1" x14ac:dyDescent="0.25">
      <c r="A703" s="175"/>
      <c r="B703" s="170"/>
      <c r="C703" s="210"/>
      <c r="D703" s="170"/>
      <c r="E703" s="176">
        <f t="shared" si="10"/>
        <v>662274.450000023</v>
      </c>
      <c r="F703" s="174"/>
      <c r="G703" s="174"/>
      <c r="H703" s="174"/>
      <c r="I703" s="174"/>
      <c r="J703" s="174"/>
      <c r="K703" s="66"/>
      <c r="L703" s="66"/>
      <c r="M703" s="45"/>
    </row>
    <row r="704" spans="1:13" ht="15" customHeight="1" x14ac:dyDescent="0.25">
      <c r="A704" s="175"/>
      <c r="B704" s="170"/>
      <c r="C704" s="210"/>
      <c r="D704" s="170"/>
      <c r="E704" s="176">
        <f t="shared" si="10"/>
        <v>662274.450000023</v>
      </c>
      <c r="F704" s="174"/>
      <c r="G704" s="174"/>
      <c r="H704" s="174"/>
      <c r="I704" s="174"/>
      <c r="J704" s="174"/>
      <c r="K704" s="66"/>
      <c r="L704" s="66"/>
      <c r="M704" s="45"/>
    </row>
    <row r="705" spans="1:13" ht="15" customHeight="1" x14ac:dyDescent="0.25">
      <c r="A705" s="175"/>
      <c r="B705" s="170"/>
      <c r="C705" s="210"/>
      <c r="D705" s="170"/>
      <c r="E705" s="176">
        <f t="shared" si="10"/>
        <v>662274.450000023</v>
      </c>
      <c r="F705" s="174"/>
      <c r="G705" s="174"/>
      <c r="H705" s="174"/>
      <c r="I705" s="174"/>
      <c r="J705" s="174"/>
      <c r="K705" s="66"/>
      <c r="L705" s="66"/>
      <c r="M705" s="45"/>
    </row>
    <row r="706" spans="1:13" ht="15" customHeight="1" x14ac:dyDescent="0.25">
      <c r="A706" s="175"/>
      <c r="B706" s="170"/>
      <c r="C706" s="210"/>
      <c r="D706" s="170"/>
      <c r="E706" s="176">
        <f t="shared" si="10"/>
        <v>662274.450000023</v>
      </c>
      <c r="F706" s="174"/>
      <c r="G706" s="174"/>
      <c r="H706" s="174"/>
      <c r="I706" s="174"/>
      <c r="J706" s="174"/>
      <c r="K706" s="66"/>
      <c r="L706" s="66"/>
      <c r="M706" s="45"/>
    </row>
    <row r="707" spans="1:13" ht="15" customHeight="1" x14ac:dyDescent="0.25">
      <c r="A707" s="175"/>
      <c r="B707" s="170"/>
      <c r="C707" s="210"/>
      <c r="D707" s="170"/>
      <c r="E707" s="176">
        <f t="shared" si="10"/>
        <v>662274.450000023</v>
      </c>
      <c r="F707" s="174"/>
      <c r="G707" s="174"/>
      <c r="H707" s="174"/>
      <c r="I707" s="174"/>
      <c r="J707" s="174"/>
      <c r="K707" s="66"/>
      <c r="L707" s="66"/>
      <c r="M707" s="45"/>
    </row>
    <row r="708" spans="1:13" ht="15" customHeight="1" x14ac:dyDescent="0.25">
      <c r="A708" s="175"/>
      <c r="B708" s="170"/>
      <c r="C708" s="210"/>
      <c r="D708" s="170"/>
      <c r="E708" s="176">
        <f t="shared" si="10"/>
        <v>662274.450000023</v>
      </c>
      <c r="F708" s="174"/>
      <c r="G708" s="174"/>
      <c r="H708" s="174"/>
      <c r="I708" s="174"/>
      <c r="J708" s="174"/>
      <c r="K708" s="66"/>
      <c r="L708" s="66"/>
      <c r="M708" s="45"/>
    </row>
    <row r="709" spans="1:13" ht="15" customHeight="1" x14ac:dyDescent="0.25">
      <c r="A709" s="175"/>
      <c r="B709" s="170"/>
      <c r="C709" s="210"/>
      <c r="D709" s="170"/>
      <c r="E709" s="176">
        <f t="shared" si="10"/>
        <v>662274.450000023</v>
      </c>
      <c r="F709" s="174"/>
      <c r="G709" s="174"/>
      <c r="H709" s="174"/>
      <c r="I709" s="174"/>
      <c r="J709" s="174"/>
      <c r="K709" s="66"/>
      <c r="L709" s="66"/>
      <c r="M709" s="45"/>
    </row>
    <row r="710" spans="1:13" ht="15" customHeight="1" x14ac:dyDescent="0.25">
      <c r="A710" s="175"/>
      <c r="B710" s="170"/>
      <c r="C710" s="210"/>
      <c r="D710" s="170"/>
      <c r="E710" s="176">
        <f t="shared" si="10"/>
        <v>662274.450000023</v>
      </c>
      <c r="F710" s="174"/>
      <c r="G710" s="174"/>
      <c r="H710" s="174"/>
      <c r="I710" s="174"/>
      <c r="J710" s="174"/>
      <c r="K710" s="66"/>
      <c r="L710" s="66"/>
      <c r="M710" s="45"/>
    </row>
    <row r="711" spans="1:13" ht="15" customHeight="1" x14ac:dyDescent="0.25">
      <c r="A711" s="175"/>
      <c r="B711" s="170"/>
      <c r="C711" s="210"/>
      <c r="D711" s="170"/>
      <c r="E711" s="176">
        <f t="shared" si="10"/>
        <v>662274.450000023</v>
      </c>
      <c r="F711" s="174"/>
      <c r="G711" s="174"/>
      <c r="H711" s="174"/>
      <c r="I711" s="174"/>
      <c r="J711" s="174"/>
      <c r="K711" s="66"/>
      <c r="L711" s="66"/>
      <c r="M711" s="45"/>
    </row>
    <row r="712" spans="1:13" ht="15" customHeight="1" x14ac:dyDescent="0.25">
      <c r="A712" s="175"/>
      <c r="B712" s="170"/>
      <c r="C712" s="210"/>
      <c r="D712" s="170"/>
      <c r="E712" s="176">
        <f t="shared" ref="E712:E775" si="11">E711-C712+D712</f>
        <v>662274.450000023</v>
      </c>
      <c r="F712" s="174"/>
      <c r="G712" s="174"/>
      <c r="H712" s="174"/>
      <c r="I712" s="174"/>
      <c r="J712" s="174"/>
      <c r="K712" s="66"/>
      <c r="L712" s="66"/>
      <c r="M712" s="45"/>
    </row>
    <row r="713" spans="1:13" ht="15" customHeight="1" x14ac:dyDescent="0.25">
      <c r="A713" s="175"/>
      <c r="B713" s="170"/>
      <c r="C713" s="210"/>
      <c r="D713" s="170"/>
      <c r="E713" s="176">
        <f t="shared" si="11"/>
        <v>662274.450000023</v>
      </c>
      <c r="F713" s="174"/>
      <c r="G713" s="174"/>
      <c r="H713" s="174"/>
      <c r="I713" s="174"/>
      <c r="J713" s="174"/>
      <c r="K713" s="66"/>
      <c r="L713" s="66"/>
      <c r="M713" s="45"/>
    </row>
    <row r="714" spans="1:13" ht="15" customHeight="1" x14ac:dyDescent="0.25">
      <c r="A714" s="175"/>
      <c r="B714" s="170"/>
      <c r="C714" s="210"/>
      <c r="D714" s="170"/>
      <c r="E714" s="176">
        <f t="shared" si="11"/>
        <v>662274.450000023</v>
      </c>
      <c r="F714" s="174"/>
      <c r="G714" s="174"/>
      <c r="H714" s="174"/>
      <c r="I714" s="174"/>
      <c r="J714" s="174"/>
      <c r="K714" s="66"/>
      <c r="L714" s="66"/>
      <c r="M714" s="45"/>
    </row>
    <row r="715" spans="1:13" ht="15" customHeight="1" x14ac:dyDescent="0.25">
      <c r="A715" s="175"/>
      <c r="B715" s="170"/>
      <c r="C715" s="210"/>
      <c r="D715" s="170"/>
      <c r="E715" s="176">
        <f t="shared" si="11"/>
        <v>662274.450000023</v>
      </c>
      <c r="F715" s="207"/>
      <c r="G715" s="181"/>
      <c r="H715" s="205"/>
      <c r="I715" s="181"/>
      <c r="J715" s="209"/>
      <c r="K715" s="66"/>
      <c r="L715" s="66"/>
      <c r="M715" s="45"/>
    </row>
    <row r="716" spans="1:13" ht="15" customHeight="1" x14ac:dyDescent="0.25">
      <c r="A716" s="175"/>
      <c r="B716" s="170"/>
      <c r="C716" s="210"/>
      <c r="D716" s="170"/>
      <c r="E716" s="176">
        <f t="shared" si="11"/>
        <v>662274.450000023</v>
      </c>
      <c r="F716" s="174"/>
      <c r="G716" s="174"/>
      <c r="H716" s="174"/>
      <c r="I716" s="174"/>
      <c r="J716" s="174"/>
      <c r="K716" s="66"/>
      <c r="L716" s="66"/>
      <c r="M716" s="45"/>
    </row>
    <row r="717" spans="1:13" ht="15" customHeight="1" x14ac:dyDescent="0.25">
      <c r="A717" s="175"/>
      <c r="B717" s="170"/>
      <c r="C717" s="210"/>
      <c r="D717" s="170"/>
      <c r="E717" s="176">
        <f t="shared" si="11"/>
        <v>662274.450000023</v>
      </c>
      <c r="F717" s="174"/>
      <c r="G717" s="174"/>
      <c r="H717" s="174"/>
      <c r="I717" s="174"/>
      <c r="J717" s="174"/>
      <c r="K717" s="66"/>
      <c r="L717" s="66"/>
      <c r="M717" s="45"/>
    </row>
    <row r="718" spans="1:13" ht="15" customHeight="1" x14ac:dyDescent="0.25">
      <c r="A718" s="175"/>
      <c r="B718" s="170"/>
      <c r="C718" s="210"/>
      <c r="D718" s="170"/>
      <c r="E718" s="176">
        <f t="shared" si="11"/>
        <v>662274.450000023</v>
      </c>
      <c r="F718" s="204"/>
      <c r="G718" s="181"/>
      <c r="H718" s="205"/>
      <c r="I718" s="181"/>
      <c r="J718" s="206"/>
      <c r="K718" s="66"/>
      <c r="L718" s="66"/>
      <c r="M718" s="45"/>
    </row>
    <row r="719" spans="1:13" ht="15" customHeight="1" x14ac:dyDescent="0.25">
      <c r="A719" s="175"/>
      <c r="B719" s="170"/>
      <c r="C719" s="210"/>
      <c r="D719" s="170"/>
      <c r="E719" s="176">
        <f t="shared" si="11"/>
        <v>662274.450000023</v>
      </c>
      <c r="F719" s="174"/>
      <c r="G719" s="174"/>
      <c r="H719" s="174"/>
      <c r="I719" s="174"/>
      <c r="J719" s="174"/>
      <c r="K719" s="66"/>
      <c r="L719" s="66"/>
      <c r="M719" s="45"/>
    </row>
    <row r="720" spans="1:13" ht="15" customHeight="1" x14ac:dyDescent="0.25">
      <c r="A720" s="175"/>
      <c r="B720" s="170"/>
      <c r="C720" s="210"/>
      <c r="D720" s="170"/>
      <c r="E720" s="176">
        <f t="shared" si="11"/>
        <v>662274.450000023</v>
      </c>
      <c r="F720" s="174"/>
      <c r="G720" s="174"/>
      <c r="H720" s="174"/>
      <c r="I720" s="174"/>
      <c r="J720" s="174"/>
      <c r="K720" s="66"/>
      <c r="L720" s="66"/>
      <c r="M720" s="45"/>
    </row>
    <row r="721" spans="1:13" ht="15" customHeight="1" x14ac:dyDescent="0.25">
      <c r="A721" s="175"/>
      <c r="B721" s="170"/>
      <c r="C721" s="170"/>
      <c r="D721" s="210"/>
      <c r="E721" s="176">
        <f t="shared" si="11"/>
        <v>662274.450000023</v>
      </c>
      <c r="F721" s="174"/>
      <c r="G721" s="174"/>
      <c r="H721" s="174"/>
      <c r="I721" s="174"/>
      <c r="J721" s="174"/>
      <c r="K721" s="66"/>
      <c r="L721" s="66"/>
      <c r="M721" s="45"/>
    </row>
    <row r="722" spans="1:13" ht="15" customHeight="1" x14ac:dyDescent="0.25">
      <c r="A722" s="175"/>
      <c r="B722" s="170"/>
      <c r="C722" s="210"/>
      <c r="D722" s="170"/>
      <c r="E722" s="176">
        <f t="shared" si="11"/>
        <v>662274.450000023</v>
      </c>
      <c r="F722" s="174"/>
      <c r="G722" s="174"/>
      <c r="H722" s="174"/>
      <c r="I722" s="174"/>
      <c r="J722" s="174"/>
      <c r="K722" s="66"/>
      <c r="L722" s="66"/>
      <c r="M722" s="45"/>
    </row>
    <row r="723" spans="1:13" ht="15" customHeight="1" x14ac:dyDescent="0.25">
      <c r="A723" s="175"/>
      <c r="B723" s="170"/>
      <c r="C723" s="170"/>
      <c r="D723" s="210"/>
      <c r="E723" s="176">
        <f t="shared" si="11"/>
        <v>662274.450000023</v>
      </c>
      <c r="F723" s="173"/>
      <c r="G723" s="174"/>
      <c r="H723" s="177"/>
      <c r="I723" s="197"/>
      <c r="J723" s="174"/>
      <c r="K723" s="66"/>
      <c r="L723" s="66"/>
      <c r="M723" s="45"/>
    </row>
    <row r="724" spans="1:13" ht="15" customHeight="1" x14ac:dyDescent="0.25">
      <c r="A724" s="175"/>
      <c r="B724" s="170"/>
      <c r="C724" s="210"/>
      <c r="D724" s="170"/>
      <c r="E724" s="176">
        <f t="shared" si="11"/>
        <v>662274.450000023</v>
      </c>
      <c r="F724" s="174"/>
      <c r="G724" s="174"/>
      <c r="H724" s="174"/>
      <c r="I724" s="174"/>
      <c r="J724" s="174"/>
      <c r="K724" s="66"/>
      <c r="L724" s="66"/>
      <c r="M724" s="45"/>
    </row>
    <row r="725" spans="1:13" ht="15" customHeight="1" x14ac:dyDescent="0.25">
      <c r="A725" s="175"/>
      <c r="B725" s="170"/>
      <c r="C725" s="210"/>
      <c r="D725" s="170"/>
      <c r="E725" s="176">
        <f t="shared" si="11"/>
        <v>662274.450000023</v>
      </c>
      <c r="F725" s="174"/>
      <c r="G725" s="174"/>
      <c r="H725" s="174"/>
      <c r="I725" s="174"/>
      <c r="J725" s="174"/>
      <c r="K725" s="66"/>
      <c r="L725" s="66"/>
      <c r="M725" s="45"/>
    </row>
    <row r="726" spans="1:13" ht="15" customHeight="1" x14ac:dyDescent="0.25">
      <c r="A726" s="175"/>
      <c r="B726" s="170"/>
      <c r="C726" s="210"/>
      <c r="D726" s="170"/>
      <c r="E726" s="176">
        <f t="shared" si="11"/>
        <v>662274.450000023</v>
      </c>
      <c r="F726" s="204"/>
      <c r="G726" s="181"/>
      <c r="H726" s="205"/>
      <c r="I726" s="181"/>
      <c r="J726" s="206"/>
      <c r="K726" s="66"/>
      <c r="L726" s="66"/>
      <c r="M726" s="45"/>
    </row>
    <row r="727" spans="1:13" ht="15" customHeight="1" x14ac:dyDescent="0.25">
      <c r="A727" s="175"/>
      <c r="B727" s="170"/>
      <c r="C727" s="170"/>
      <c r="D727" s="210"/>
      <c r="E727" s="176">
        <f t="shared" si="11"/>
        <v>662274.450000023</v>
      </c>
      <c r="F727" s="174"/>
      <c r="G727" s="174"/>
      <c r="H727" s="174"/>
      <c r="I727" s="174"/>
      <c r="J727" s="174"/>
      <c r="K727" s="66"/>
      <c r="L727" s="66"/>
      <c r="M727" s="45"/>
    </row>
    <row r="728" spans="1:13" ht="15" customHeight="1" x14ac:dyDescent="0.25">
      <c r="A728" s="175"/>
      <c r="B728" s="170"/>
      <c r="C728" s="170"/>
      <c r="D728" s="210"/>
      <c r="E728" s="176">
        <f t="shared" si="11"/>
        <v>662274.450000023</v>
      </c>
      <c r="F728" s="174"/>
      <c r="G728" s="174"/>
      <c r="H728" s="174"/>
      <c r="I728" s="174"/>
      <c r="J728" s="174"/>
      <c r="K728" s="66"/>
      <c r="L728" s="66"/>
      <c r="M728" s="45"/>
    </row>
    <row r="729" spans="1:13" ht="15" customHeight="1" x14ac:dyDescent="0.25">
      <c r="A729" s="175"/>
      <c r="B729" s="170"/>
      <c r="C729" s="210"/>
      <c r="D729" s="170"/>
      <c r="E729" s="176">
        <f t="shared" si="11"/>
        <v>662274.450000023</v>
      </c>
      <c r="F729" s="174"/>
      <c r="G729" s="174"/>
      <c r="H729" s="174"/>
      <c r="I729" s="174"/>
      <c r="J729" s="174"/>
      <c r="K729" s="66"/>
      <c r="L729" s="66"/>
      <c r="M729" s="45"/>
    </row>
    <row r="730" spans="1:13" ht="15" customHeight="1" x14ac:dyDescent="0.25">
      <c r="A730" s="175"/>
      <c r="B730" s="170"/>
      <c r="C730" s="170"/>
      <c r="D730" s="210"/>
      <c r="E730" s="176">
        <f t="shared" si="11"/>
        <v>662274.450000023</v>
      </c>
      <c r="F730" s="173"/>
      <c r="G730" s="174"/>
      <c r="H730" s="177"/>
      <c r="I730" s="197"/>
      <c r="J730" s="174"/>
      <c r="K730" s="66"/>
      <c r="L730" s="66"/>
      <c r="M730" s="45"/>
    </row>
    <row r="731" spans="1:13" ht="15" customHeight="1" x14ac:dyDescent="0.25">
      <c r="A731" s="175"/>
      <c r="B731" s="170"/>
      <c r="C731" s="210"/>
      <c r="D731" s="170"/>
      <c r="E731" s="176">
        <f t="shared" si="11"/>
        <v>662274.450000023</v>
      </c>
      <c r="F731" s="174"/>
      <c r="G731" s="174"/>
      <c r="H731" s="174"/>
      <c r="I731" s="174"/>
      <c r="J731" s="174"/>
      <c r="K731" s="66"/>
      <c r="L731" s="66"/>
      <c r="M731" s="45"/>
    </row>
    <row r="732" spans="1:13" ht="15" customHeight="1" x14ac:dyDescent="0.25">
      <c r="A732" s="175"/>
      <c r="B732" s="170"/>
      <c r="C732" s="210"/>
      <c r="D732" s="170"/>
      <c r="E732" s="176">
        <f t="shared" si="11"/>
        <v>662274.450000023</v>
      </c>
      <c r="F732" s="174"/>
      <c r="G732" s="174"/>
      <c r="H732" s="174"/>
      <c r="I732" s="174"/>
      <c r="J732" s="174"/>
      <c r="K732" s="66"/>
      <c r="L732" s="66"/>
      <c r="M732" s="45"/>
    </row>
    <row r="733" spans="1:13" ht="15" customHeight="1" x14ac:dyDescent="0.25">
      <c r="A733" s="175"/>
      <c r="B733" s="170"/>
      <c r="C733" s="210"/>
      <c r="D733" s="170"/>
      <c r="E733" s="176">
        <f t="shared" si="11"/>
        <v>662274.450000023</v>
      </c>
      <c r="F733" s="174"/>
      <c r="G733" s="174"/>
      <c r="H733" s="174"/>
      <c r="I733" s="174"/>
      <c r="J733" s="174"/>
      <c r="K733" s="66"/>
      <c r="L733" s="66"/>
      <c r="M733" s="45"/>
    </row>
    <row r="734" spans="1:13" ht="15" customHeight="1" x14ac:dyDescent="0.25">
      <c r="A734" s="175"/>
      <c r="B734" s="170"/>
      <c r="C734" s="210"/>
      <c r="D734" s="170"/>
      <c r="E734" s="176">
        <f t="shared" si="11"/>
        <v>662274.450000023</v>
      </c>
      <c r="F734" s="174"/>
      <c r="G734" s="174"/>
      <c r="H734" s="174"/>
      <c r="I734" s="174"/>
      <c r="J734" s="174"/>
      <c r="K734" s="66"/>
      <c r="L734" s="66"/>
      <c r="M734" s="45"/>
    </row>
    <row r="735" spans="1:13" ht="15" customHeight="1" x14ac:dyDescent="0.25">
      <c r="A735" s="175"/>
      <c r="B735" s="170"/>
      <c r="C735" s="210"/>
      <c r="D735" s="170"/>
      <c r="E735" s="176">
        <f t="shared" si="11"/>
        <v>662274.450000023</v>
      </c>
      <c r="F735" s="174"/>
      <c r="G735" s="174"/>
      <c r="H735" s="174"/>
      <c r="I735" s="174"/>
      <c r="J735" s="174"/>
      <c r="K735" s="66"/>
      <c r="L735" s="66"/>
      <c r="M735" s="45"/>
    </row>
    <row r="736" spans="1:13" ht="15" customHeight="1" x14ac:dyDescent="0.25">
      <c r="A736" s="175"/>
      <c r="B736" s="170"/>
      <c r="C736" s="210"/>
      <c r="D736" s="170"/>
      <c r="E736" s="176">
        <f t="shared" si="11"/>
        <v>662274.450000023</v>
      </c>
      <c r="F736" s="174"/>
      <c r="G736" s="174"/>
      <c r="H736" s="174"/>
      <c r="I736" s="174"/>
      <c r="J736" s="174"/>
      <c r="K736" s="66"/>
      <c r="L736" s="66"/>
      <c r="M736" s="45"/>
    </row>
    <row r="737" spans="1:13" ht="15" customHeight="1" x14ac:dyDescent="0.25">
      <c r="A737" s="175"/>
      <c r="B737" s="170"/>
      <c r="C737" s="210"/>
      <c r="D737" s="170"/>
      <c r="E737" s="176">
        <f t="shared" si="11"/>
        <v>662274.450000023</v>
      </c>
      <c r="F737" s="174"/>
      <c r="G737" s="174"/>
      <c r="H737" s="174"/>
      <c r="I737" s="174"/>
      <c r="J737" s="174"/>
      <c r="K737" s="66"/>
      <c r="L737" s="66"/>
      <c r="M737" s="45"/>
    </row>
    <row r="738" spans="1:13" ht="15" customHeight="1" x14ac:dyDescent="0.25">
      <c r="A738" s="175"/>
      <c r="B738" s="170"/>
      <c r="C738" s="210"/>
      <c r="D738" s="170"/>
      <c r="E738" s="176">
        <f t="shared" si="11"/>
        <v>662274.450000023</v>
      </c>
      <c r="F738" s="174"/>
      <c r="G738" s="174"/>
      <c r="H738" s="174"/>
      <c r="I738" s="174"/>
      <c r="J738" s="174"/>
      <c r="K738" s="66"/>
      <c r="L738" s="66"/>
      <c r="M738" s="45"/>
    </row>
    <row r="739" spans="1:13" ht="15" customHeight="1" x14ac:dyDescent="0.25">
      <c r="A739" s="175"/>
      <c r="B739" s="170"/>
      <c r="C739" s="210"/>
      <c r="D739" s="170"/>
      <c r="E739" s="176">
        <f t="shared" si="11"/>
        <v>662274.450000023</v>
      </c>
      <c r="F739" s="174"/>
      <c r="G739" s="174"/>
      <c r="H739" s="174"/>
      <c r="I739" s="174"/>
      <c r="J739" s="174"/>
      <c r="K739" s="66"/>
      <c r="L739" s="66"/>
      <c r="M739" s="45"/>
    </row>
    <row r="740" spans="1:13" ht="15" customHeight="1" x14ac:dyDescent="0.25">
      <c r="A740" s="175"/>
      <c r="B740" s="170"/>
      <c r="C740" s="210"/>
      <c r="D740" s="170"/>
      <c r="E740" s="176">
        <f t="shared" si="11"/>
        <v>662274.450000023</v>
      </c>
      <c r="F740" s="174"/>
      <c r="G740" s="174"/>
      <c r="H740" s="174"/>
      <c r="I740" s="174"/>
      <c r="J740" s="174"/>
      <c r="K740" s="66"/>
      <c r="L740" s="66"/>
      <c r="M740" s="45"/>
    </row>
    <row r="741" spans="1:13" ht="15" customHeight="1" x14ac:dyDescent="0.25">
      <c r="A741" s="175"/>
      <c r="B741" s="170"/>
      <c r="C741" s="210"/>
      <c r="D741" s="170"/>
      <c r="E741" s="176">
        <f t="shared" si="11"/>
        <v>662274.450000023</v>
      </c>
      <c r="F741" s="174"/>
      <c r="G741" s="174"/>
      <c r="H741" s="174"/>
      <c r="I741" s="174"/>
      <c r="J741" s="174"/>
      <c r="K741" s="66"/>
      <c r="L741" s="66"/>
      <c r="M741" s="45"/>
    </row>
    <row r="742" spans="1:13" ht="15" customHeight="1" x14ac:dyDescent="0.25">
      <c r="A742" s="175"/>
      <c r="B742" s="170"/>
      <c r="C742" s="210"/>
      <c r="D742" s="170"/>
      <c r="E742" s="176">
        <f t="shared" si="11"/>
        <v>662274.450000023</v>
      </c>
      <c r="F742" s="174"/>
      <c r="G742" s="174"/>
      <c r="H742" s="174"/>
      <c r="I742" s="174"/>
      <c r="J742" s="174"/>
      <c r="K742" s="66"/>
      <c r="L742" s="66"/>
      <c r="M742" s="45"/>
    </row>
    <row r="743" spans="1:13" ht="15" customHeight="1" x14ac:dyDescent="0.25">
      <c r="A743" s="175"/>
      <c r="B743" s="170"/>
      <c r="C743" s="210"/>
      <c r="D743" s="170"/>
      <c r="E743" s="176">
        <f t="shared" si="11"/>
        <v>662274.450000023</v>
      </c>
      <c r="F743" s="174"/>
      <c r="G743" s="174"/>
      <c r="H743" s="174"/>
      <c r="I743" s="174"/>
      <c r="J743" s="174"/>
      <c r="K743" s="66"/>
      <c r="L743" s="66"/>
      <c r="M743" s="45"/>
    </row>
    <row r="744" spans="1:13" ht="15" customHeight="1" x14ac:dyDescent="0.25">
      <c r="A744" s="175"/>
      <c r="B744" s="170"/>
      <c r="C744" s="210"/>
      <c r="D744" s="170"/>
      <c r="E744" s="176">
        <f t="shared" si="11"/>
        <v>662274.450000023</v>
      </c>
      <c r="F744" s="174"/>
      <c r="G744" s="174"/>
      <c r="H744" s="174"/>
      <c r="I744" s="174"/>
      <c r="J744" s="174"/>
      <c r="K744" s="66"/>
      <c r="L744" s="66"/>
      <c r="M744" s="45"/>
    </row>
    <row r="745" spans="1:13" ht="15" customHeight="1" x14ac:dyDescent="0.25">
      <c r="A745" s="175"/>
      <c r="B745" s="170"/>
      <c r="C745" s="210"/>
      <c r="D745" s="170"/>
      <c r="E745" s="176">
        <f t="shared" si="11"/>
        <v>662274.450000023</v>
      </c>
      <c r="F745" s="174"/>
      <c r="G745" s="174"/>
      <c r="H745" s="174"/>
      <c r="I745" s="174"/>
      <c r="J745" s="174"/>
      <c r="K745" s="66"/>
      <c r="L745" s="66"/>
      <c r="M745" s="45"/>
    </row>
    <row r="746" spans="1:13" ht="15" customHeight="1" x14ac:dyDescent="0.25">
      <c r="A746" s="175"/>
      <c r="B746" s="170"/>
      <c r="C746" s="210"/>
      <c r="D746" s="170"/>
      <c r="E746" s="176">
        <f t="shared" si="11"/>
        <v>662274.450000023</v>
      </c>
      <c r="F746" s="174"/>
      <c r="G746" s="174"/>
      <c r="H746" s="174"/>
      <c r="I746" s="174"/>
      <c r="J746" s="174"/>
      <c r="K746" s="66"/>
      <c r="L746" s="66"/>
      <c r="M746" s="45"/>
    </row>
    <row r="747" spans="1:13" ht="15" customHeight="1" x14ac:dyDescent="0.25">
      <c r="A747" s="175"/>
      <c r="B747" s="170"/>
      <c r="C747" s="210"/>
      <c r="D747" s="170"/>
      <c r="E747" s="176">
        <f t="shared" si="11"/>
        <v>662274.450000023</v>
      </c>
      <c r="F747" s="174"/>
      <c r="G747" s="174"/>
      <c r="H747" s="174"/>
      <c r="I747" s="174"/>
      <c r="J747" s="174"/>
      <c r="K747" s="66"/>
      <c r="L747" s="66"/>
      <c r="M747" s="45"/>
    </row>
    <row r="748" spans="1:13" ht="15" customHeight="1" x14ac:dyDescent="0.25">
      <c r="A748" s="175"/>
      <c r="B748" s="170"/>
      <c r="C748" s="210"/>
      <c r="D748" s="170"/>
      <c r="E748" s="176">
        <f t="shared" si="11"/>
        <v>662274.450000023</v>
      </c>
      <c r="F748" s="174"/>
      <c r="G748" s="174"/>
      <c r="H748" s="174"/>
      <c r="I748" s="174"/>
      <c r="J748" s="174"/>
      <c r="K748" s="66"/>
      <c r="L748" s="66"/>
      <c r="M748" s="45"/>
    </row>
    <row r="749" spans="1:13" ht="15" customHeight="1" x14ac:dyDescent="0.25">
      <c r="A749" s="175"/>
      <c r="B749" s="170"/>
      <c r="C749" s="210"/>
      <c r="D749" s="170"/>
      <c r="E749" s="176">
        <f t="shared" si="11"/>
        <v>662274.450000023</v>
      </c>
      <c r="F749" s="174"/>
      <c r="G749" s="174"/>
      <c r="H749" s="174"/>
      <c r="I749" s="174"/>
      <c r="J749" s="174"/>
      <c r="K749" s="66"/>
      <c r="L749" s="66"/>
      <c r="M749" s="45"/>
    </row>
    <row r="750" spans="1:13" ht="15" customHeight="1" x14ac:dyDescent="0.25">
      <c r="A750" s="175"/>
      <c r="B750" s="170"/>
      <c r="C750" s="210"/>
      <c r="D750" s="170"/>
      <c r="E750" s="176">
        <f t="shared" si="11"/>
        <v>662274.450000023</v>
      </c>
      <c r="F750" s="174"/>
      <c r="G750" s="174"/>
      <c r="H750" s="174"/>
      <c r="I750" s="174"/>
      <c r="J750" s="174"/>
      <c r="K750" s="66"/>
      <c r="L750" s="66"/>
      <c r="M750" s="45"/>
    </row>
    <row r="751" spans="1:13" ht="15" customHeight="1" x14ac:dyDescent="0.25">
      <c r="A751" s="175"/>
      <c r="B751" s="170"/>
      <c r="C751" s="210"/>
      <c r="D751" s="170"/>
      <c r="E751" s="176">
        <f t="shared" si="11"/>
        <v>662274.450000023</v>
      </c>
      <c r="F751" s="174"/>
      <c r="G751" s="174"/>
      <c r="H751" s="174"/>
      <c r="I751" s="174"/>
      <c r="J751" s="174"/>
      <c r="K751" s="66"/>
      <c r="L751" s="66"/>
      <c r="M751" s="45"/>
    </row>
    <row r="752" spans="1:13" ht="15" customHeight="1" x14ac:dyDescent="0.25">
      <c r="A752" s="175"/>
      <c r="B752" s="170"/>
      <c r="C752" s="210"/>
      <c r="D752" s="170"/>
      <c r="E752" s="176">
        <f t="shared" si="11"/>
        <v>662274.450000023</v>
      </c>
      <c r="F752" s="174"/>
      <c r="G752" s="174"/>
      <c r="H752" s="174"/>
      <c r="I752" s="174"/>
      <c r="J752" s="174"/>
      <c r="K752" s="66"/>
      <c r="L752" s="66"/>
      <c r="M752" s="45"/>
    </row>
    <row r="753" spans="1:13" ht="15" customHeight="1" x14ac:dyDescent="0.25">
      <c r="A753" s="175"/>
      <c r="B753" s="170"/>
      <c r="C753" s="210"/>
      <c r="D753" s="170"/>
      <c r="E753" s="176">
        <f t="shared" si="11"/>
        <v>662274.450000023</v>
      </c>
      <c r="F753" s="174"/>
      <c r="G753" s="174"/>
      <c r="H753" s="174"/>
      <c r="I753" s="174"/>
      <c r="J753" s="174"/>
      <c r="K753" s="66"/>
      <c r="L753" s="66"/>
      <c r="M753" s="45"/>
    </row>
    <row r="754" spans="1:13" ht="15" customHeight="1" x14ac:dyDescent="0.25">
      <c r="A754" s="175"/>
      <c r="B754" s="170"/>
      <c r="C754" s="210"/>
      <c r="D754" s="170"/>
      <c r="E754" s="176">
        <f t="shared" si="11"/>
        <v>662274.450000023</v>
      </c>
      <c r="F754" s="204"/>
      <c r="G754" s="181"/>
      <c r="H754" s="205"/>
      <c r="I754" s="181"/>
      <c r="J754" s="206"/>
      <c r="K754" s="66"/>
      <c r="L754" s="66"/>
      <c r="M754" s="45"/>
    </row>
    <row r="755" spans="1:13" ht="15" customHeight="1" x14ac:dyDescent="0.25">
      <c r="A755" s="175"/>
      <c r="B755" s="170"/>
      <c r="C755" s="210"/>
      <c r="D755" s="170"/>
      <c r="E755" s="176">
        <f t="shared" si="11"/>
        <v>662274.450000023</v>
      </c>
      <c r="F755" s="174"/>
      <c r="G755" s="174"/>
      <c r="H755" s="174"/>
      <c r="I755" s="174"/>
      <c r="J755" s="174"/>
      <c r="K755" s="66"/>
      <c r="L755" s="66"/>
      <c r="M755" s="45"/>
    </row>
    <row r="756" spans="1:13" ht="15" customHeight="1" x14ac:dyDescent="0.25">
      <c r="A756" s="175"/>
      <c r="B756" s="170"/>
      <c r="C756" s="210"/>
      <c r="D756" s="170"/>
      <c r="E756" s="176">
        <f t="shared" si="11"/>
        <v>662274.450000023</v>
      </c>
      <c r="F756" s="174"/>
      <c r="G756" s="174"/>
      <c r="H756" s="174"/>
      <c r="I756" s="174"/>
      <c r="J756" s="174"/>
      <c r="K756" s="66"/>
      <c r="L756" s="66"/>
      <c r="M756" s="45"/>
    </row>
    <row r="757" spans="1:13" ht="15" customHeight="1" x14ac:dyDescent="0.25">
      <c r="A757" s="175"/>
      <c r="B757" s="170"/>
      <c r="C757" s="210"/>
      <c r="D757" s="170"/>
      <c r="E757" s="176">
        <f t="shared" si="11"/>
        <v>662274.450000023</v>
      </c>
      <c r="F757" s="174"/>
      <c r="G757" s="174"/>
      <c r="H757" s="174"/>
      <c r="I757" s="174"/>
      <c r="J757" s="174"/>
      <c r="K757" s="66"/>
      <c r="L757" s="66"/>
      <c r="M757" s="45"/>
    </row>
    <row r="758" spans="1:13" ht="15" customHeight="1" x14ac:dyDescent="0.25">
      <c r="A758" s="175"/>
      <c r="B758" s="170"/>
      <c r="C758" s="210"/>
      <c r="D758" s="170"/>
      <c r="E758" s="176">
        <f t="shared" si="11"/>
        <v>662274.450000023</v>
      </c>
      <c r="F758" s="173"/>
      <c r="G758" s="174"/>
      <c r="H758" s="177"/>
      <c r="I758" s="197"/>
      <c r="J758" s="174"/>
      <c r="K758" s="66"/>
      <c r="L758" s="66"/>
      <c r="M758" s="45"/>
    </row>
    <row r="759" spans="1:13" ht="15" customHeight="1" x14ac:dyDescent="0.25">
      <c r="A759" s="175"/>
      <c r="B759" s="170"/>
      <c r="C759" s="170"/>
      <c r="D759" s="210"/>
      <c r="E759" s="176">
        <f t="shared" si="11"/>
        <v>662274.450000023</v>
      </c>
      <c r="F759" s="174"/>
      <c r="G759" s="174"/>
      <c r="H759" s="174"/>
      <c r="I759" s="174"/>
      <c r="J759" s="174"/>
      <c r="K759" s="66"/>
      <c r="L759" s="66"/>
      <c r="M759" s="45"/>
    </row>
    <row r="760" spans="1:13" ht="15" customHeight="1" x14ac:dyDescent="0.25">
      <c r="A760" s="175"/>
      <c r="B760" s="170"/>
      <c r="C760" s="210"/>
      <c r="D760" s="170"/>
      <c r="E760" s="176">
        <f t="shared" si="11"/>
        <v>662274.450000023</v>
      </c>
      <c r="F760" s="174"/>
      <c r="G760" s="174"/>
      <c r="H760" s="174"/>
      <c r="I760" s="174"/>
      <c r="J760" s="174"/>
      <c r="K760" s="66"/>
      <c r="L760" s="66"/>
      <c r="M760" s="45"/>
    </row>
    <row r="761" spans="1:13" ht="15" customHeight="1" x14ac:dyDescent="0.25">
      <c r="A761" s="175"/>
      <c r="B761" s="170"/>
      <c r="C761" s="210"/>
      <c r="D761" s="170"/>
      <c r="E761" s="176">
        <f t="shared" si="11"/>
        <v>662274.450000023</v>
      </c>
      <c r="F761" s="174"/>
      <c r="G761" s="174"/>
      <c r="H761" s="174"/>
      <c r="I761" s="174"/>
      <c r="J761" s="174"/>
      <c r="K761" s="66"/>
      <c r="L761" s="66"/>
      <c r="M761" s="45"/>
    </row>
    <row r="762" spans="1:13" ht="15" customHeight="1" x14ac:dyDescent="0.25">
      <c r="A762" s="175"/>
      <c r="B762" s="170"/>
      <c r="C762" s="210"/>
      <c r="D762" s="170"/>
      <c r="E762" s="176">
        <f t="shared" si="11"/>
        <v>662274.450000023</v>
      </c>
      <c r="F762" s="174"/>
      <c r="G762" s="174"/>
      <c r="H762" s="174"/>
      <c r="I762" s="174"/>
      <c r="J762" s="174"/>
      <c r="K762" s="66"/>
      <c r="L762" s="66"/>
      <c r="M762" s="45"/>
    </row>
    <row r="763" spans="1:13" ht="15" customHeight="1" x14ac:dyDescent="0.25">
      <c r="A763" s="175"/>
      <c r="B763" s="170"/>
      <c r="C763" s="210"/>
      <c r="D763" s="170"/>
      <c r="E763" s="176">
        <f t="shared" si="11"/>
        <v>662274.450000023</v>
      </c>
      <c r="F763" s="174"/>
      <c r="G763" s="174"/>
      <c r="H763" s="174"/>
      <c r="I763" s="174"/>
      <c r="J763" s="174"/>
      <c r="K763" s="66"/>
      <c r="L763" s="66"/>
      <c r="M763" s="45"/>
    </row>
    <row r="764" spans="1:13" ht="15" customHeight="1" x14ac:dyDescent="0.25">
      <c r="A764" s="175"/>
      <c r="B764" s="170"/>
      <c r="C764" s="210"/>
      <c r="D764" s="170"/>
      <c r="E764" s="176">
        <f t="shared" si="11"/>
        <v>662274.450000023</v>
      </c>
      <c r="F764" s="174"/>
      <c r="G764" s="174"/>
      <c r="H764" s="174"/>
      <c r="I764" s="174"/>
      <c r="J764" s="174"/>
      <c r="K764" s="66"/>
      <c r="L764" s="66"/>
      <c r="M764" s="45"/>
    </row>
    <row r="765" spans="1:13" ht="15" customHeight="1" x14ac:dyDescent="0.25">
      <c r="A765" s="175"/>
      <c r="B765" s="170"/>
      <c r="C765" s="210"/>
      <c r="D765" s="170"/>
      <c r="E765" s="176">
        <f t="shared" si="11"/>
        <v>662274.450000023</v>
      </c>
      <c r="F765" s="174"/>
      <c r="G765" s="174"/>
      <c r="H765" s="174"/>
      <c r="I765" s="174"/>
      <c r="J765" s="174"/>
      <c r="K765" s="66"/>
      <c r="L765" s="66"/>
      <c r="M765" s="45"/>
    </row>
    <row r="766" spans="1:13" ht="15" customHeight="1" x14ac:dyDescent="0.25">
      <c r="A766" s="175"/>
      <c r="B766" s="170"/>
      <c r="C766" s="210"/>
      <c r="D766" s="170"/>
      <c r="E766" s="176">
        <f t="shared" si="11"/>
        <v>662274.450000023</v>
      </c>
      <c r="F766" s="174"/>
      <c r="G766" s="174"/>
      <c r="H766" s="174"/>
      <c r="I766" s="174"/>
      <c r="J766" s="174"/>
      <c r="K766" s="66"/>
      <c r="L766" s="66"/>
      <c r="M766" s="45"/>
    </row>
    <row r="767" spans="1:13" ht="15" customHeight="1" x14ac:dyDescent="0.25">
      <c r="A767" s="175"/>
      <c r="B767" s="170"/>
      <c r="C767" s="210"/>
      <c r="D767" s="170"/>
      <c r="E767" s="176">
        <f t="shared" si="11"/>
        <v>662274.450000023</v>
      </c>
      <c r="F767" s="174"/>
      <c r="G767" s="174"/>
      <c r="H767" s="174"/>
      <c r="I767" s="174"/>
      <c r="J767" s="174"/>
      <c r="K767" s="66"/>
      <c r="L767" s="66"/>
      <c r="M767" s="45"/>
    </row>
    <row r="768" spans="1:13" ht="15" customHeight="1" x14ac:dyDescent="0.25">
      <c r="A768" s="175"/>
      <c r="B768" s="170"/>
      <c r="C768" s="210"/>
      <c r="D768" s="170"/>
      <c r="E768" s="176">
        <f t="shared" si="11"/>
        <v>662274.450000023</v>
      </c>
      <c r="F768" s="174"/>
      <c r="G768" s="174"/>
      <c r="H768" s="174"/>
      <c r="I768" s="174"/>
      <c r="J768" s="174"/>
      <c r="K768" s="66"/>
      <c r="L768" s="66"/>
      <c r="M768" s="45"/>
    </row>
    <row r="769" spans="1:13" ht="15" customHeight="1" x14ac:dyDescent="0.25">
      <c r="A769" s="175"/>
      <c r="B769" s="170"/>
      <c r="C769" s="210"/>
      <c r="D769" s="170"/>
      <c r="E769" s="176">
        <f t="shared" si="11"/>
        <v>662274.450000023</v>
      </c>
      <c r="F769" s="174"/>
      <c r="G769" s="174"/>
      <c r="H769" s="174"/>
      <c r="I769" s="174"/>
      <c r="J769" s="174"/>
      <c r="K769" s="66"/>
      <c r="L769" s="66"/>
      <c r="M769" s="45"/>
    </row>
    <row r="770" spans="1:13" ht="15" customHeight="1" x14ac:dyDescent="0.25">
      <c r="A770" s="175"/>
      <c r="B770" s="170"/>
      <c r="C770" s="210"/>
      <c r="D770" s="170"/>
      <c r="E770" s="176">
        <f t="shared" si="11"/>
        <v>662274.450000023</v>
      </c>
      <c r="F770" s="174"/>
      <c r="G770" s="174"/>
      <c r="H770" s="174"/>
      <c r="I770" s="174"/>
      <c r="J770" s="174"/>
      <c r="K770" s="66"/>
      <c r="L770" s="66"/>
      <c r="M770" s="45"/>
    </row>
    <row r="771" spans="1:13" ht="15" customHeight="1" x14ac:dyDescent="0.25">
      <c r="A771" s="175"/>
      <c r="B771" s="170"/>
      <c r="C771" s="210"/>
      <c r="D771" s="170"/>
      <c r="E771" s="176">
        <f t="shared" si="11"/>
        <v>662274.450000023</v>
      </c>
      <c r="F771" s="174"/>
      <c r="G771" s="174"/>
      <c r="H771" s="174"/>
      <c r="I771" s="174"/>
      <c r="J771" s="174"/>
      <c r="K771" s="66"/>
      <c r="L771" s="66"/>
      <c r="M771" s="45"/>
    </row>
    <row r="772" spans="1:13" ht="15" customHeight="1" x14ac:dyDescent="0.25">
      <c r="A772" s="175"/>
      <c r="B772" s="170"/>
      <c r="C772" s="210"/>
      <c r="D772" s="170"/>
      <c r="E772" s="176">
        <f t="shared" si="11"/>
        <v>662274.450000023</v>
      </c>
      <c r="F772" s="174"/>
      <c r="G772" s="174"/>
      <c r="H772" s="174"/>
      <c r="I772" s="174"/>
      <c r="J772" s="174"/>
      <c r="K772" s="66"/>
      <c r="L772" s="66"/>
      <c r="M772" s="45"/>
    </row>
    <row r="773" spans="1:13" ht="15" customHeight="1" x14ac:dyDescent="0.25">
      <c r="A773" s="175"/>
      <c r="B773" s="170"/>
      <c r="C773" s="210"/>
      <c r="D773" s="170"/>
      <c r="E773" s="176">
        <f t="shared" si="11"/>
        <v>662274.450000023</v>
      </c>
      <c r="F773" s="174"/>
      <c r="G773" s="174"/>
      <c r="H773" s="174"/>
      <c r="I773" s="174"/>
      <c r="J773" s="174"/>
      <c r="K773" s="66"/>
      <c r="L773" s="66"/>
      <c r="M773" s="45"/>
    </row>
    <row r="774" spans="1:13" ht="15" customHeight="1" x14ac:dyDescent="0.25">
      <c r="A774" s="175"/>
      <c r="B774" s="170"/>
      <c r="C774" s="210"/>
      <c r="D774" s="170"/>
      <c r="E774" s="176">
        <f t="shared" si="11"/>
        <v>662274.450000023</v>
      </c>
      <c r="F774" s="174"/>
      <c r="G774" s="174"/>
      <c r="H774" s="174"/>
      <c r="I774" s="174"/>
      <c r="J774" s="174"/>
      <c r="K774" s="66"/>
      <c r="L774" s="66"/>
      <c r="M774" s="45"/>
    </row>
    <row r="775" spans="1:13" ht="15" customHeight="1" x14ac:dyDescent="0.25">
      <c r="A775" s="175"/>
      <c r="B775" s="170"/>
      <c r="C775" s="210"/>
      <c r="D775" s="170"/>
      <c r="E775" s="176">
        <f t="shared" si="11"/>
        <v>662274.450000023</v>
      </c>
      <c r="F775" s="174"/>
      <c r="G775" s="174"/>
      <c r="H775" s="174"/>
      <c r="I775" s="174"/>
      <c r="J775" s="174"/>
      <c r="K775" s="66"/>
      <c r="L775" s="66"/>
      <c r="M775" s="45"/>
    </row>
    <row r="776" spans="1:13" ht="15" customHeight="1" x14ac:dyDescent="0.25">
      <c r="A776" s="175"/>
      <c r="B776" s="170"/>
      <c r="C776" s="210"/>
      <c r="D776" s="170"/>
      <c r="E776" s="176">
        <f t="shared" ref="E776:E839" si="12">E775-C776+D776</f>
        <v>662274.450000023</v>
      </c>
      <c r="F776" s="174"/>
      <c r="G776" s="174"/>
      <c r="H776" s="174"/>
      <c r="I776" s="174"/>
      <c r="J776" s="174"/>
      <c r="K776" s="66"/>
      <c r="L776" s="66"/>
      <c r="M776" s="45"/>
    </row>
    <row r="777" spans="1:13" ht="15" customHeight="1" x14ac:dyDescent="0.25">
      <c r="A777" s="175"/>
      <c r="B777" s="170"/>
      <c r="C777" s="210"/>
      <c r="D777" s="170"/>
      <c r="E777" s="176">
        <f t="shared" si="12"/>
        <v>662274.450000023</v>
      </c>
      <c r="F777" s="174"/>
      <c r="G777" s="174"/>
      <c r="H777" s="174"/>
      <c r="I777" s="174"/>
      <c r="J777" s="174"/>
      <c r="K777" s="66"/>
      <c r="L777" s="66"/>
      <c r="M777" s="45"/>
    </row>
    <row r="778" spans="1:13" ht="15" customHeight="1" x14ac:dyDescent="0.25">
      <c r="A778" s="175"/>
      <c r="B778" s="170"/>
      <c r="C778" s="210"/>
      <c r="D778" s="170"/>
      <c r="E778" s="176">
        <f t="shared" si="12"/>
        <v>662274.450000023</v>
      </c>
      <c r="F778" s="174"/>
      <c r="G778" s="174"/>
      <c r="H778" s="174"/>
      <c r="I778" s="174"/>
      <c r="J778" s="174"/>
      <c r="K778" s="66"/>
      <c r="L778" s="66"/>
      <c r="M778" s="45"/>
    </row>
    <row r="779" spans="1:13" ht="15" customHeight="1" x14ac:dyDescent="0.25">
      <c r="A779" s="175"/>
      <c r="B779" s="170"/>
      <c r="C779" s="210"/>
      <c r="D779" s="170"/>
      <c r="E779" s="176">
        <f t="shared" si="12"/>
        <v>662274.450000023</v>
      </c>
      <c r="F779" s="174"/>
      <c r="G779" s="174"/>
      <c r="H779" s="174"/>
      <c r="I779" s="174"/>
      <c r="J779" s="174"/>
      <c r="K779" s="66"/>
      <c r="L779" s="66"/>
      <c r="M779" s="45"/>
    </row>
    <row r="780" spans="1:13" ht="15" customHeight="1" x14ac:dyDescent="0.25">
      <c r="A780" s="175"/>
      <c r="B780" s="170"/>
      <c r="C780" s="210"/>
      <c r="D780" s="170"/>
      <c r="E780" s="176">
        <f t="shared" si="12"/>
        <v>662274.450000023</v>
      </c>
      <c r="F780" s="174"/>
      <c r="G780" s="174"/>
      <c r="H780" s="174"/>
      <c r="I780" s="174"/>
      <c r="J780" s="174"/>
      <c r="K780" s="66"/>
      <c r="L780" s="66"/>
      <c r="M780" s="45"/>
    </row>
    <row r="781" spans="1:13" ht="15" customHeight="1" x14ac:dyDescent="0.25">
      <c r="A781" s="175"/>
      <c r="B781" s="170"/>
      <c r="C781" s="210"/>
      <c r="D781" s="170"/>
      <c r="E781" s="176">
        <f t="shared" si="12"/>
        <v>662274.450000023</v>
      </c>
      <c r="F781" s="174"/>
      <c r="G781" s="174"/>
      <c r="H781" s="174"/>
      <c r="I781" s="174"/>
      <c r="J781" s="174"/>
      <c r="K781" s="66"/>
      <c r="L781" s="66"/>
      <c r="M781" s="45"/>
    </row>
    <row r="782" spans="1:13" ht="15" customHeight="1" x14ac:dyDescent="0.25">
      <c r="A782" s="175"/>
      <c r="B782" s="170"/>
      <c r="C782" s="210"/>
      <c r="D782" s="170"/>
      <c r="E782" s="176">
        <f t="shared" si="12"/>
        <v>662274.450000023</v>
      </c>
      <c r="F782" s="174"/>
      <c r="G782" s="174"/>
      <c r="H782" s="174"/>
      <c r="I782" s="174"/>
      <c r="J782" s="174"/>
      <c r="K782" s="66"/>
      <c r="L782" s="66"/>
      <c r="M782" s="45"/>
    </row>
    <row r="783" spans="1:13" ht="15" customHeight="1" x14ac:dyDescent="0.25">
      <c r="A783" s="175"/>
      <c r="B783" s="170"/>
      <c r="C783" s="210"/>
      <c r="D783" s="170"/>
      <c r="E783" s="176">
        <f t="shared" si="12"/>
        <v>662274.450000023</v>
      </c>
      <c r="F783" s="174"/>
      <c r="G783" s="174"/>
      <c r="H783" s="174"/>
      <c r="I783" s="174"/>
      <c r="J783" s="174"/>
      <c r="K783" s="66"/>
      <c r="L783" s="66"/>
      <c r="M783" s="45"/>
    </row>
    <row r="784" spans="1:13" ht="15" customHeight="1" x14ac:dyDescent="0.25">
      <c r="A784" s="175"/>
      <c r="B784" s="170"/>
      <c r="C784" s="210"/>
      <c r="D784" s="170"/>
      <c r="E784" s="176">
        <f t="shared" si="12"/>
        <v>662274.450000023</v>
      </c>
      <c r="F784" s="173"/>
      <c r="G784" s="199"/>
      <c r="H784" s="203"/>
      <c r="I784" s="197"/>
      <c r="J784" s="174"/>
      <c r="K784" s="66"/>
      <c r="L784" s="66"/>
      <c r="M784" s="45"/>
    </row>
    <row r="785" spans="1:13" ht="15" customHeight="1" x14ac:dyDescent="0.25">
      <c r="A785" s="175"/>
      <c r="B785" s="170"/>
      <c r="C785" s="210"/>
      <c r="D785" s="170"/>
      <c r="E785" s="176">
        <f t="shared" si="12"/>
        <v>662274.450000023</v>
      </c>
      <c r="F785" s="174"/>
      <c r="G785" s="174"/>
      <c r="H785" s="174"/>
      <c r="I785" s="174"/>
      <c r="J785" s="174"/>
      <c r="K785" s="66"/>
      <c r="L785" s="66"/>
      <c r="M785" s="45"/>
    </row>
    <row r="786" spans="1:13" ht="15" customHeight="1" x14ac:dyDescent="0.25">
      <c r="A786" s="175"/>
      <c r="B786" s="170"/>
      <c r="C786" s="210"/>
      <c r="D786" s="170"/>
      <c r="E786" s="176">
        <f t="shared" si="12"/>
        <v>662274.450000023</v>
      </c>
      <c r="F786" s="174"/>
      <c r="G786" s="174"/>
      <c r="H786" s="174"/>
      <c r="I786" s="174"/>
      <c r="J786" s="174"/>
      <c r="K786" s="66"/>
      <c r="L786" s="66"/>
      <c r="M786" s="45"/>
    </row>
    <row r="787" spans="1:13" ht="15" customHeight="1" x14ac:dyDescent="0.25">
      <c r="A787" s="175"/>
      <c r="B787" s="170"/>
      <c r="C787" s="210"/>
      <c r="D787" s="170"/>
      <c r="E787" s="176">
        <f t="shared" si="12"/>
        <v>662274.450000023</v>
      </c>
      <c r="F787" s="174"/>
      <c r="G787" s="174"/>
      <c r="H787" s="174"/>
      <c r="I787" s="174"/>
      <c r="J787" s="174"/>
      <c r="K787" s="66"/>
      <c r="L787" s="66"/>
      <c r="M787" s="45"/>
    </row>
    <row r="788" spans="1:13" ht="15" customHeight="1" x14ac:dyDescent="0.25">
      <c r="A788" s="175"/>
      <c r="B788" s="170"/>
      <c r="C788" s="210"/>
      <c r="D788" s="170"/>
      <c r="E788" s="176">
        <f t="shared" si="12"/>
        <v>662274.450000023</v>
      </c>
      <c r="F788" s="174"/>
      <c r="G788" s="174"/>
      <c r="H788" s="174"/>
      <c r="I788" s="174"/>
      <c r="J788" s="174"/>
      <c r="K788" s="66"/>
      <c r="L788" s="66"/>
      <c r="M788" s="45"/>
    </row>
    <row r="789" spans="1:13" ht="15" customHeight="1" x14ac:dyDescent="0.25">
      <c r="A789" s="175"/>
      <c r="B789" s="170"/>
      <c r="C789" s="210"/>
      <c r="D789" s="170"/>
      <c r="E789" s="176">
        <f t="shared" si="12"/>
        <v>662274.450000023</v>
      </c>
      <c r="F789" s="174"/>
      <c r="G789" s="174"/>
      <c r="H789" s="174"/>
      <c r="I789" s="174"/>
      <c r="J789" s="174"/>
      <c r="K789" s="66"/>
      <c r="L789" s="66"/>
      <c r="M789" s="45"/>
    </row>
    <row r="790" spans="1:13" ht="15" customHeight="1" x14ac:dyDescent="0.25">
      <c r="A790" s="175"/>
      <c r="B790" s="170"/>
      <c r="C790" s="210"/>
      <c r="D790" s="170"/>
      <c r="E790" s="176">
        <f t="shared" si="12"/>
        <v>662274.450000023</v>
      </c>
      <c r="F790" s="174"/>
      <c r="G790" s="174"/>
      <c r="H790" s="174"/>
      <c r="I790" s="174"/>
      <c r="J790" s="174"/>
      <c r="K790" s="66"/>
      <c r="L790" s="66"/>
      <c r="M790" s="45"/>
    </row>
    <row r="791" spans="1:13" ht="15" customHeight="1" x14ac:dyDescent="0.25">
      <c r="A791" s="175"/>
      <c r="B791" s="170"/>
      <c r="C791" s="210"/>
      <c r="D791" s="170"/>
      <c r="E791" s="176">
        <f t="shared" si="12"/>
        <v>662274.450000023</v>
      </c>
      <c r="F791" s="174"/>
      <c r="G791" s="174"/>
      <c r="H791" s="174"/>
      <c r="I791" s="174"/>
      <c r="J791" s="174"/>
      <c r="K791" s="66"/>
      <c r="L791" s="66"/>
      <c r="M791" s="45"/>
    </row>
    <row r="792" spans="1:13" ht="15" customHeight="1" x14ac:dyDescent="0.25">
      <c r="A792" s="175"/>
      <c r="B792" s="170"/>
      <c r="C792" s="210"/>
      <c r="D792" s="170"/>
      <c r="E792" s="176">
        <f t="shared" si="12"/>
        <v>662274.450000023</v>
      </c>
      <c r="F792" s="174"/>
      <c r="G792" s="174"/>
      <c r="H792" s="174"/>
      <c r="I792" s="174"/>
      <c r="J792" s="174"/>
      <c r="K792" s="66"/>
      <c r="L792" s="66"/>
      <c r="M792" s="45"/>
    </row>
    <row r="793" spans="1:13" ht="15" customHeight="1" x14ac:dyDescent="0.25">
      <c r="A793" s="175"/>
      <c r="B793" s="170"/>
      <c r="C793" s="210"/>
      <c r="D793" s="170"/>
      <c r="E793" s="176">
        <f t="shared" si="12"/>
        <v>662274.450000023</v>
      </c>
      <c r="F793" s="174"/>
      <c r="G793" s="174"/>
      <c r="H793" s="174"/>
      <c r="I793" s="174"/>
      <c r="J793" s="174"/>
      <c r="K793" s="66"/>
      <c r="L793" s="66"/>
      <c r="M793" s="45"/>
    </row>
    <row r="794" spans="1:13" ht="15" customHeight="1" x14ac:dyDescent="0.25">
      <c r="A794" s="175"/>
      <c r="B794" s="170"/>
      <c r="C794" s="210"/>
      <c r="D794" s="170"/>
      <c r="E794" s="176">
        <f t="shared" si="12"/>
        <v>662274.450000023</v>
      </c>
      <c r="F794" s="174"/>
      <c r="G794" s="174"/>
      <c r="H794" s="174"/>
      <c r="I794" s="174"/>
      <c r="J794" s="174"/>
      <c r="K794" s="66"/>
      <c r="L794" s="66"/>
      <c r="M794" s="45"/>
    </row>
    <row r="795" spans="1:13" ht="15" customHeight="1" x14ac:dyDescent="0.25">
      <c r="A795" s="175"/>
      <c r="B795" s="170"/>
      <c r="C795" s="210"/>
      <c r="D795" s="170"/>
      <c r="E795" s="176">
        <f t="shared" si="12"/>
        <v>662274.450000023</v>
      </c>
      <c r="F795" s="174"/>
      <c r="G795" s="174"/>
      <c r="H795" s="174"/>
      <c r="I795" s="174"/>
      <c r="J795" s="174"/>
      <c r="K795" s="66"/>
      <c r="L795" s="66"/>
      <c r="M795" s="45"/>
    </row>
    <row r="796" spans="1:13" ht="15" customHeight="1" x14ac:dyDescent="0.25">
      <c r="A796" s="175"/>
      <c r="B796" s="170"/>
      <c r="C796" s="210"/>
      <c r="D796" s="170"/>
      <c r="E796" s="176">
        <f t="shared" si="12"/>
        <v>662274.450000023</v>
      </c>
      <c r="F796" s="174"/>
      <c r="G796" s="174"/>
      <c r="H796" s="174"/>
      <c r="I796" s="174"/>
      <c r="J796" s="174"/>
      <c r="K796" s="66"/>
      <c r="L796" s="66"/>
      <c r="M796" s="45"/>
    </row>
    <row r="797" spans="1:13" ht="15" customHeight="1" x14ac:dyDescent="0.25">
      <c r="A797" s="175"/>
      <c r="B797" s="170"/>
      <c r="C797" s="210"/>
      <c r="D797" s="170"/>
      <c r="E797" s="176">
        <f t="shared" si="12"/>
        <v>662274.450000023</v>
      </c>
      <c r="F797" s="174"/>
      <c r="G797" s="174"/>
      <c r="H797" s="174"/>
      <c r="I797" s="174"/>
      <c r="J797" s="174"/>
      <c r="K797" s="66"/>
      <c r="L797" s="66"/>
      <c r="M797" s="45"/>
    </row>
    <row r="798" spans="1:13" ht="15" customHeight="1" x14ac:dyDescent="0.25">
      <c r="A798" s="175"/>
      <c r="B798" s="170"/>
      <c r="C798" s="210"/>
      <c r="D798" s="170"/>
      <c r="E798" s="176">
        <f t="shared" si="12"/>
        <v>662274.450000023</v>
      </c>
      <c r="F798" s="204"/>
      <c r="G798" s="181"/>
      <c r="H798" s="205"/>
      <c r="I798" s="181"/>
      <c r="J798" s="206"/>
      <c r="K798" s="66"/>
      <c r="L798" s="66"/>
      <c r="M798" s="45"/>
    </row>
    <row r="799" spans="1:13" ht="15" customHeight="1" x14ac:dyDescent="0.25">
      <c r="A799" s="175"/>
      <c r="B799" s="170"/>
      <c r="C799" s="210"/>
      <c r="D799" s="170"/>
      <c r="E799" s="176">
        <f t="shared" si="12"/>
        <v>662274.450000023</v>
      </c>
      <c r="F799" s="174"/>
      <c r="G799" s="174"/>
      <c r="H799" s="174"/>
      <c r="I799" s="174"/>
      <c r="J799" s="174"/>
      <c r="K799" s="66"/>
      <c r="L799" s="66"/>
      <c r="M799" s="45"/>
    </row>
    <row r="800" spans="1:13" ht="15" customHeight="1" x14ac:dyDescent="0.25">
      <c r="A800" s="175"/>
      <c r="B800" s="170"/>
      <c r="C800" s="210"/>
      <c r="D800" s="170"/>
      <c r="E800" s="176">
        <f t="shared" si="12"/>
        <v>662274.450000023</v>
      </c>
      <c r="F800" s="174"/>
      <c r="G800" s="174"/>
      <c r="H800" s="174"/>
      <c r="I800" s="174"/>
      <c r="J800" s="174"/>
      <c r="K800" s="66"/>
      <c r="L800" s="66"/>
      <c r="M800" s="45"/>
    </row>
    <row r="801" spans="1:13" ht="15" customHeight="1" x14ac:dyDescent="0.25">
      <c r="A801" s="175"/>
      <c r="B801" s="170"/>
      <c r="C801" s="210"/>
      <c r="D801" s="170"/>
      <c r="E801" s="176">
        <f t="shared" si="12"/>
        <v>662274.450000023</v>
      </c>
      <c r="F801" s="174"/>
      <c r="G801" s="174"/>
      <c r="H801" s="174"/>
      <c r="I801" s="174"/>
      <c r="J801" s="174"/>
      <c r="K801" s="66"/>
      <c r="L801" s="66"/>
      <c r="M801" s="45"/>
    </row>
    <row r="802" spans="1:13" ht="15" customHeight="1" x14ac:dyDescent="0.25">
      <c r="A802" s="175"/>
      <c r="B802" s="170"/>
      <c r="C802" s="210"/>
      <c r="D802" s="170"/>
      <c r="E802" s="176">
        <f t="shared" si="12"/>
        <v>662274.450000023</v>
      </c>
      <c r="F802" s="174"/>
      <c r="G802" s="174"/>
      <c r="H802" s="174"/>
      <c r="I802" s="174"/>
      <c r="J802" s="174"/>
      <c r="K802" s="66"/>
      <c r="L802" s="66"/>
      <c r="M802" s="45"/>
    </row>
    <row r="803" spans="1:13" ht="15" customHeight="1" x14ac:dyDescent="0.25">
      <c r="A803" s="175"/>
      <c r="B803" s="170"/>
      <c r="C803" s="210"/>
      <c r="D803" s="170"/>
      <c r="E803" s="176">
        <f t="shared" si="12"/>
        <v>662274.450000023</v>
      </c>
      <c r="F803" s="174"/>
      <c r="G803" s="174"/>
      <c r="H803" s="174"/>
      <c r="I803" s="174"/>
      <c r="J803" s="174"/>
      <c r="K803" s="66"/>
      <c r="L803" s="66"/>
      <c r="M803" s="45"/>
    </row>
    <row r="804" spans="1:13" ht="15" customHeight="1" x14ac:dyDescent="0.25">
      <c r="A804" s="175"/>
      <c r="B804" s="170"/>
      <c r="C804" s="210"/>
      <c r="D804" s="170"/>
      <c r="E804" s="176">
        <f t="shared" si="12"/>
        <v>662274.450000023</v>
      </c>
      <c r="F804" s="174"/>
      <c r="G804" s="174"/>
      <c r="H804" s="174"/>
      <c r="I804" s="174"/>
      <c r="J804" s="174"/>
      <c r="K804" s="66"/>
      <c r="L804" s="66"/>
      <c r="M804" s="45"/>
    </row>
    <row r="805" spans="1:13" ht="15" customHeight="1" x14ac:dyDescent="0.25">
      <c r="A805" s="175"/>
      <c r="B805" s="170"/>
      <c r="C805" s="210"/>
      <c r="D805" s="170"/>
      <c r="E805" s="176">
        <f t="shared" si="12"/>
        <v>662274.450000023</v>
      </c>
      <c r="F805" s="174"/>
      <c r="G805" s="174"/>
      <c r="H805" s="174"/>
      <c r="I805" s="174"/>
      <c r="J805" s="174"/>
      <c r="K805" s="66"/>
      <c r="L805" s="66"/>
      <c r="M805" s="45"/>
    </row>
    <row r="806" spans="1:13" ht="15" customHeight="1" x14ac:dyDescent="0.25">
      <c r="A806" s="175"/>
      <c r="B806" s="170"/>
      <c r="C806" s="210"/>
      <c r="D806" s="170"/>
      <c r="E806" s="176">
        <f t="shared" si="12"/>
        <v>662274.450000023</v>
      </c>
      <c r="F806" s="173"/>
      <c r="G806" s="199"/>
      <c r="H806" s="192"/>
      <c r="I806" s="197"/>
      <c r="J806" s="174"/>
      <c r="K806" s="66"/>
      <c r="L806" s="66"/>
      <c r="M806" s="45"/>
    </row>
    <row r="807" spans="1:13" ht="15" customHeight="1" x14ac:dyDescent="0.25">
      <c r="A807" s="175"/>
      <c r="B807" s="170"/>
      <c r="C807" s="210"/>
      <c r="D807" s="170"/>
      <c r="E807" s="176">
        <f t="shared" si="12"/>
        <v>662274.450000023</v>
      </c>
      <c r="F807" s="174"/>
      <c r="G807" s="174"/>
      <c r="H807" s="174"/>
      <c r="I807" s="174"/>
      <c r="J807" s="174"/>
      <c r="K807" s="66"/>
      <c r="L807" s="66"/>
      <c r="M807" s="45"/>
    </row>
    <row r="808" spans="1:13" ht="15" customHeight="1" x14ac:dyDescent="0.25">
      <c r="A808" s="175"/>
      <c r="B808" s="170"/>
      <c r="C808" s="210"/>
      <c r="D808" s="170"/>
      <c r="E808" s="176">
        <f t="shared" si="12"/>
        <v>662274.450000023</v>
      </c>
      <c r="F808" s="174"/>
      <c r="G808" s="174"/>
      <c r="H808" s="174"/>
      <c r="I808" s="174"/>
      <c r="J808" s="174"/>
      <c r="K808" s="66"/>
      <c r="L808" s="66"/>
      <c r="M808" s="45"/>
    </row>
    <row r="809" spans="1:13" ht="15" customHeight="1" x14ac:dyDescent="0.25">
      <c r="A809" s="175"/>
      <c r="B809" s="170"/>
      <c r="C809" s="210"/>
      <c r="D809" s="170"/>
      <c r="E809" s="176">
        <f t="shared" si="12"/>
        <v>662274.450000023</v>
      </c>
      <c r="F809" s="204"/>
      <c r="G809" s="181"/>
      <c r="H809" s="205"/>
      <c r="I809" s="181"/>
      <c r="J809" s="206"/>
      <c r="K809" s="66"/>
      <c r="L809" s="66"/>
      <c r="M809" s="45"/>
    </row>
    <row r="810" spans="1:13" ht="15" customHeight="1" x14ac:dyDescent="0.25">
      <c r="A810" s="175"/>
      <c r="B810" s="170"/>
      <c r="C810" s="210"/>
      <c r="D810" s="170"/>
      <c r="E810" s="176">
        <f t="shared" si="12"/>
        <v>662274.450000023</v>
      </c>
      <c r="F810" s="174"/>
      <c r="G810" s="174"/>
      <c r="H810" s="174"/>
      <c r="I810" s="174"/>
      <c r="J810" s="174"/>
      <c r="K810" s="66"/>
      <c r="L810" s="66"/>
      <c r="M810" s="45"/>
    </row>
    <row r="811" spans="1:13" ht="15" customHeight="1" x14ac:dyDescent="0.25">
      <c r="A811" s="175"/>
      <c r="B811" s="170"/>
      <c r="C811" s="210"/>
      <c r="D811" s="170"/>
      <c r="E811" s="176">
        <f t="shared" si="12"/>
        <v>662274.450000023</v>
      </c>
      <c r="F811" s="173"/>
      <c r="G811" s="199"/>
      <c r="H811" s="192"/>
      <c r="I811" s="197"/>
      <c r="J811" s="174"/>
      <c r="K811" s="66"/>
      <c r="L811" s="66"/>
      <c r="M811" s="45"/>
    </row>
    <row r="812" spans="1:13" ht="15" customHeight="1" x14ac:dyDescent="0.25">
      <c r="A812" s="175"/>
      <c r="B812" s="170"/>
      <c r="C812" s="210"/>
      <c r="D812" s="170"/>
      <c r="E812" s="176">
        <f t="shared" si="12"/>
        <v>662274.450000023</v>
      </c>
      <c r="F812" s="174"/>
      <c r="G812" s="174"/>
      <c r="H812" s="174"/>
      <c r="I812" s="174"/>
      <c r="J812" s="174"/>
      <c r="K812" s="66"/>
      <c r="L812" s="66"/>
      <c r="M812" s="45"/>
    </row>
    <row r="813" spans="1:13" ht="15" customHeight="1" x14ac:dyDescent="0.25">
      <c r="A813" s="175"/>
      <c r="B813" s="170"/>
      <c r="C813" s="210"/>
      <c r="D813" s="170"/>
      <c r="E813" s="176">
        <f t="shared" si="12"/>
        <v>662274.450000023</v>
      </c>
      <c r="F813" s="174"/>
      <c r="G813" s="174"/>
      <c r="H813" s="174"/>
      <c r="I813" s="174"/>
      <c r="J813" s="174"/>
      <c r="K813" s="66"/>
      <c r="L813" s="66"/>
      <c r="M813" s="45"/>
    </row>
    <row r="814" spans="1:13" ht="15" customHeight="1" x14ac:dyDescent="0.25">
      <c r="A814" s="175"/>
      <c r="B814" s="170"/>
      <c r="C814" s="210"/>
      <c r="D814" s="170"/>
      <c r="E814" s="176">
        <f t="shared" si="12"/>
        <v>662274.450000023</v>
      </c>
      <c r="F814" s="174"/>
      <c r="G814" s="174"/>
      <c r="H814" s="174"/>
      <c r="I814" s="174"/>
      <c r="J814" s="174"/>
      <c r="K814" s="66"/>
      <c r="L814" s="66"/>
      <c r="M814" s="45"/>
    </row>
    <row r="815" spans="1:13" ht="15" customHeight="1" x14ac:dyDescent="0.25">
      <c r="A815" s="175"/>
      <c r="B815" s="170"/>
      <c r="C815" s="210"/>
      <c r="D815" s="170"/>
      <c r="E815" s="176">
        <f t="shared" si="12"/>
        <v>662274.450000023</v>
      </c>
      <c r="F815" s="174"/>
      <c r="G815" s="174"/>
      <c r="H815" s="174"/>
      <c r="I815" s="174"/>
      <c r="J815" s="174"/>
      <c r="K815" s="66"/>
      <c r="L815" s="66"/>
      <c r="M815" s="45"/>
    </row>
    <row r="816" spans="1:13" ht="15" customHeight="1" x14ac:dyDescent="0.25">
      <c r="A816" s="175"/>
      <c r="B816" s="170"/>
      <c r="C816" s="210"/>
      <c r="D816" s="170"/>
      <c r="E816" s="176">
        <f t="shared" si="12"/>
        <v>662274.450000023</v>
      </c>
      <c r="F816" s="174"/>
      <c r="G816" s="174"/>
      <c r="H816" s="174"/>
      <c r="I816" s="174"/>
      <c r="J816" s="174"/>
      <c r="K816" s="66"/>
      <c r="L816" s="66"/>
      <c r="M816" s="45"/>
    </row>
    <row r="817" spans="1:13" ht="15" customHeight="1" x14ac:dyDescent="0.25">
      <c r="A817" s="175"/>
      <c r="B817" s="170"/>
      <c r="C817" s="210"/>
      <c r="D817" s="170"/>
      <c r="E817" s="176">
        <f t="shared" si="12"/>
        <v>662274.450000023</v>
      </c>
      <c r="F817" s="174"/>
      <c r="G817" s="174"/>
      <c r="H817" s="174"/>
      <c r="I817" s="174"/>
      <c r="J817" s="174"/>
      <c r="K817" s="66"/>
      <c r="L817" s="66"/>
      <c r="M817" s="45"/>
    </row>
    <row r="818" spans="1:13" ht="15" customHeight="1" x14ac:dyDescent="0.25">
      <c r="A818" s="175"/>
      <c r="B818" s="170"/>
      <c r="C818" s="210"/>
      <c r="D818" s="170"/>
      <c r="E818" s="176">
        <f t="shared" si="12"/>
        <v>662274.450000023</v>
      </c>
      <c r="F818" s="174"/>
      <c r="G818" s="174"/>
      <c r="H818" s="174"/>
      <c r="I818" s="174"/>
      <c r="J818" s="174"/>
      <c r="K818" s="66"/>
      <c r="L818" s="66"/>
      <c r="M818" s="45"/>
    </row>
    <row r="819" spans="1:13" ht="15" customHeight="1" x14ac:dyDescent="0.25">
      <c r="A819" s="175"/>
      <c r="B819" s="170"/>
      <c r="C819" s="210"/>
      <c r="D819" s="170"/>
      <c r="E819" s="176">
        <f t="shared" si="12"/>
        <v>662274.450000023</v>
      </c>
      <c r="F819" s="174"/>
      <c r="G819" s="174"/>
      <c r="H819" s="174"/>
      <c r="I819" s="174"/>
      <c r="J819" s="174"/>
      <c r="K819" s="66"/>
      <c r="L819" s="66"/>
      <c r="M819" s="45"/>
    </row>
    <row r="820" spans="1:13" ht="15" customHeight="1" x14ac:dyDescent="0.25">
      <c r="A820" s="175"/>
      <c r="B820" s="170"/>
      <c r="C820" s="210"/>
      <c r="D820" s="170"/>
      <c r="E820" s="176">
        <f t="shared" si="12"/>
        <v>662274.450000023</v>
      </c>
      <c r="F820" s="174"/>
      <c r="G820" s="174"/>
      <c r="H820" s="174"/>
      <c r="I820" s="174"/>
      <c r="J820" s="174"/>
      <c r="K820" s="66"/>
      <c r="L820" s="66"/>
      <c r="M820" s="45"/>
    </row>
    <row r="821" spans="1:13" ht="15" customHeight="1" x14ac:dyDescent="0.25">
      <c r="A821" s="175"/>
      <c r="B821" s="170"/>
      <c r="C821" s="210"/>
      <c r="D821" s="170"/>
      <c r="E821" s="176">
        <f t="shared" si="12"/>
        <v>662274.450000023</v>
      </c>
      <c r="F821" s="174"/>
      <c r="G821" s="174"/>
      <c r="H821" s="174"/>
      <c r="I821" s="174"/>
      <c r="J821" s="174"/>
      <c r="K821" s="66"/>
      <c r="L821" s="66"/>
      <c r="M821" s="45"/>
    </row>
    <row r="822" spans="1:13" ht="15" customHeight="1" x14ac:dyDescent="0.25">
      <c r="A822" s="175"/>
      <c r="B822" s="170"/>
      <c r="C822" s="210"/>
      <c r="D822" s="170"/>
      <c r="E822" s="176">
        <f t="shared" si="12"/>
        <v>662274.450000023</v>
      </c>
      <c r="F822" s="174"/>
      <c r="G822" s="174"/>
      <c r="H822" s="174"/>
      <c r="I822" s="174"/>
      <c r="J822" s="174"/>
      <c r="K822" s="66"/>
      <c r="L822" s="66"/>
      <c r="M822" s="45"/>
    </row>
    <row r="823" spans="1:13" ht="15" customHeight="1" x14ac:dyDescent="0.25">
      <c r="A823" s="175"/>
      <c r="B823" s="170"/>
      <c r="C823" s="210"/>
      <c r="D823" s="170"/>
      <c r="E823" s="176">
        <f t="shared" si="12"/>
        <v>662274.450000023</v>
      </c>
      <c r="F823" s="174"/>
      <c r="G823" s="174"/>
      <c r="H823" s="174"/>
      <c r="I823" s="174"/>
      <c r="J823" s="174"/>
      <c r="K823" s="66"/>
      <c r="L823" s="66"/>
      <c r="M823" s="45"/>
    </row>
    <row r="824" spans="1:13" ht="15" customHeight="1" x14ac:dyDescent="0.25">
      <c r="A824" s="175"/>
      <c r="B824" s="170"/>
      <c r="C824" s="210"/>
      <c r="D824" s="170"/>
      <c r="E824" s="176">
        <f t="shared" si="12"/>
        <v>662274.450000023</v>
      </c>
      <c r="F824" s="174"/>
      <c r="G824" s="174"/>
      <c r="H824" s="174"/>
      <c r="I824" s="174"/>
      <c r="J824" s="174"/>
      <c r="K824" s="66"/>
      <c r="L824" s="66"/>
      <c r="M824" s="45"/>
    </row>
    <row r="825" spans="1:13" ht="15" customHeight="1" x14ac:dyDescent="0.25">
      <c r="A825" s="175"/>
      <c r="B825" s="170"/>
      <c r="C825" s="210"/>
      <c r="D825" s="170"/>
      <c r="E825" s="176">
        <f t="shared" si="12"/>
        <v>662274.450000023</v>
      </c>
      <c r="F825" s="174"/>
      <c r="G825" s="174"/>
      <c r="H825" s="174"/>
      <c r="I825" s="174"/>
      <c r="J825" s="174"/>
      <c r="K825" s="66"/>
      <c r="L825" s="66"/>
      <c r="M825" s="45"/>
    </row>
    <row r="826" spans="1:13" ht="15" customHeight="1" x14ac:dyDescent="0.25">
      <c r="A826" s="175"/>
      <c r="B826" s="170"/>
      <c r="C826" s="210"/>
      <c r="D826" s="170"/>
      <c r="E826" s="176">
        <f t="shared" si="12"/>
        <v>662274.450000023</v>
      </c>
      <c r="F826" s="174"/>
      <c r="G826" s="174"/>
      <c r="H826" s="174"/>
      <c r="I826" s="174"/>
      <c r="J826" s="174"/>
      <c r="K826" s="66"/>
      <c r="L826" s="66"/>
      <c r="M826" s="45"/>
    </row>
    <row r="827" spans="1:13" ht="15" customHeight="1" x14ac:dyDescent="0.25">
      <c r="A827" s="175"/>
      <c r="B827" s="170"/>
      <c r="C827" s="210"/>
      <c r="D827" s="170"/>
      <c r="E827" s="176">
        <f t="shared" si="12"/>
        <v>662274.450000023</v>
      </c>
      <c r="F827" s="174"/>
      <c r="G827" s="174"/>
      <c r="H827" s="174"/>
      <c r="I827" s="174"/>
      <c r="J827" s="174"/>
      <c r="K827" s="66"/>
      <c r="L827" s="66"/>
      <c r="M827" s="45"/>
    </row>
    <row r="828" spans="1:13" ht="15" customHeight="1" x14ac:dyDescent="0.25">
      <c r="A828" s="175"/>
      <c r="B828" s="170"/>
      <c r="C828" s="210"/>
      <c r="D828" s="170"/>
      <c r="E828" s="176">
        <f t="shared" si="12"/>
        <v>662274.450000023</v>
      </c>
      <c r="F828" s="174"/>
      <c r="G828" s="174"/>
      <c r="H828" s="174"/>
      <c r="I828" s="174"/>
      <c r="J828" s="174"/>
      <c r="K828" s="66"/>
      <c r="L828" s="66"/>
      <c r="M828" s="45"/>
    </row>
    <row r="829" spans="1:13" ht="15" customHeight="1" x14ac:dyDescent="0.25">
      <c r="A829" s="175"/>
      <c r="B829" s="170"/>
      <c r="C829" s="210"/>
      <c r="D829" s="170"/>
      <c r="E829" s="176">
        <f t="shared" si="12"/>
        <v>662274.450000023</v>
      </c>
      <c r="F829" s="174"/>
      <c r="G829" s="174"/>
      <c r="H829" s="174"/>
      <c r="I829" s="174"/>
      <c r="J829" s="174"/>
      <c r="K829" s="66"/>
      <c r="L829" s="66"/>
      <c r="M829" s="45"/>
    </row>
    <row r="830" spans="1:13" ht="15" customHeight="1" x14ac:dyDescent="0.25">
      <c r="A830" s="175"/>
      <c r="B830" s="170"/>
      <c r="C830" s="170"/>
      <c r="D830" s="210"/>
      <c r="E830" s="176">
        <f t="shared" si="12"/>
        <v>662274.450000023</v>
      </c>
      <c r="F830" s="173"/>
      <c r="G830" s="174"/>
      <c r="H830" s="177"/>
      <c r="I830" s="197"/>
      <c r="J830" s="174"/>
      <c r="K830" s="66"/>
      <c r="L830" s="66"/>
      <c r="M830" s="45"/>
    </row>
    <row r="831" spans="1:13" ht="15" customHeight="1" x14ac:dyDescent="0.25">
      <c r="A831" s="175"/>
      <c r="B831" s="170"/>
      <c r="C831" s="210"/>
      <c r="D831" s="170"/>
      <c r="E831" s="176">
        <f t="shared" si="12"/>
        <v>662274.450000023</v>
      </c>
      <c r="F831" s="174"/>
      <c r="G831" s="174"/>
      <c r="H831" s="174"/>
      <c r="I831" s="174"/>
      <c r="J831" s="174"/>
      <c r="K831" s="66"/>
      <c r="L831" s="66"/>
      <c r="M831" s="45"/>
    </row>
    <row r="832" spans="1:13" ht="15" customHeight="1" x14ac:dyDescent="0.25">
      <c r="A832" s="175"/>
      <c r="B832" s="170"/>
      <c r="C832" s="170"/>
      <c r="D832" s="210"/>
      <c r="E832" s="176">
        <f t="shared" si="12"/>
        <v>662274.450000023</v>
      </c>
      <c r="F832" s="174"/>
      <c r="G832" s="174"/>
      <c r="H832" s="174"/>
      <c r="I832" s="174"/>
      <c r="J832" s="174"/>
      <c r="K832" s="66"/>
      <c r="L832" s="66"/>
      <c r="M832" s="45"/>
    </row>
    <row r="833" spans="1:13" ht="15" customHeight="1" x14ac:dyDescent="0.25">
      <c r="A833" s="175"/>
      <c r="B833" s="170"/>
      <c r="C833" s="210"/>
      <c r="D833" s="170"/>
      <c r="E833" s="176">
        <f t="shared" si="12"/>
        <v>662274.450000023</v>
      </c>
      <c r="F833" s="174"/>
      <c r="G833" s="174"/>
      <c r="H833" s="174"/>
      <c r="I833" s="174"/>
      <c r="J833" s="174"/>
      <c r="K833" s="66"/>
      <c r="L833" s="66"/>
      <c r="M833" s="45"/>
    </row>
    <row r="834" spans="1:13" ht="15" customHeight="1" x14ac:dyDescent="0.25">
      <c r="A834" s="175"/>
      <c r="B834" s="170"/>
      <c r="C834" s="210"/>
      <c r="D834" s="170"/>
      <c r="E834" s="176">
        <f t="shared" si="12"/>
        <v>662274.450000023</v>
      </c>
      <c r="F834" s="204"/>
      <c r="G834" s="181"/>
      <c r="H834" s="205"/>
      <c r="I834" s="181"/>
      <c r="J834" s="206"/>
      <c r="K834" s="66"/>
      <c r="L834" s="66"/>
      <c r="M834" s="45"/>
    </row>
    <row r="835" spans="1:13" ht="15" customHeight="1" x14ac:dyDescent="0.25">
      <c r="A835" s="175"/>
      <c r="B835" s="170"/>
      <c r="C835" s="210"/>
      <c r="D835" s="170"/>
      <c r="E835" s="176">
        <f t="shared" si="12"/>
        <v>662274.450000023</v>
      </c>
      <c r="F835" s="204"/>
      <c r="G835" s="181"/>
      <c r="H835" s="205"/>
      <c r="I835" s="181"/>
      <c r="J835" s="206"/>
      <c r="K835" s="66"/>
      <c r="L835" s="66"/>
      <c r="M835" s="45"/>
    </row>
    <row r="836" spans="1:13" ht="15" customHeight="1" x14ac:dyDescent="0.25">
      <c r="A836" s="175"/>
      <c r="B836" s="170"/>
      <c r="C836" s="210"/>
      <c r="D836" s="170"/>
      <c r="E836" s="176">
        <f t="shared" si="12"/>
        <v>662274.450000023</v>
      </c>
      <c r="F836" s="174"/>
      <c r="G836" s="174"/>
      <c r="H836" s="174"/>
      <c r="I836" s="174"/>
      <c r="J836" s="174"/>
      <c r="K836" s="66"/>
      <c r="L836" s="66"/>
      <c r="M836" s="45"/>
    </row>
    <row r="837" spans="1:13" ht="15" customHeight="1" x14ac:dyDescent="0.25">
      <c r="A837" s="175"/>
      <c r="B837" s="170"/>
      <c r="C837" s="210"/>
      <c r="D837" s="170"/>
      <c r="E837" s="176">
        <f t="shared" si="12"/>
        <v>662274.450000023</v>
      </c>
      <c r="F837" s="173"/>
      <c r="G837" s="174"/>
      <c r="H837" s="177"/>
      <c r="I837" s="197"/>
      <c r="J837" s="174"/>
      <c r="K837" s="66"/>
      <c r="L837" s="66"/>
      <c r="M837" s="45"/>
    </row>
    <row r="838" spans="1:13" ht="15" customHeight="1" x14ac:dyDescent="0.25">
      <c r="A838" s="175"/>
      <c r="B838" s="170"/>
      <c r="C838" s="210"/>
      <c r="D838" s="170"/>
      <c r="E838" s="176">
        <f t="shared" si="12"/>
        <v>662274.450000023</v>
      </c>
      <c r="F838" s="174"/>
      <c r="G838" s="174"/>
      <c r="H838" s="174"/>
      <c r="I838" s="174"/>
      <c r="J838" s="174"/>
      <c r="K838" s="66"/>
      <c r="L838" s="66"/>
      <c r="M838" s="45"/>
    </row>
    <row r="839" spans="1:13" ht="15" customHeight="1" x14ac:dyDescent="0.25">
      <c r="A839" s="175"/>
      <c r="B839" s="170"/>
      <c r="C839" s="210"/>
      <c r="D839" s="170"/>
      <c r="E839" s="176">
        <f t="shared" si="12"/>
        <v>662274.450000023</v>
      </c>
      <c r="F839" s="174"/>
      <c r="G839" s="174"/>
      <c r="H839" s="174"/>
      <c r="I839" s="174"/>
      <c r="J839" s="174"/>
      <c r="K839" s="66"/>
      <c r="L839" s="66"/>
      <c r="M839" s="45"/>
    </row>
    <row r="840" spans="1:13" ht="15" customHeight="1" x14ac:dyDescent="0.25">
      <c r="A840" s="175"/>
      <c r="B840" s="170"/>
      <c r="C840" s="210"/>
      <c r="D840" s="170"/>
      <c r="E840" s="176">
        <f t="shared" ref="E840:E903" si="13">E839-C840+D840</f>
        <v>662274.450000023</v>
      </c>
      <c r="F840" s="174"/>
      <c r="G840" s="174"/>
      <c r="H840" s="174"/>
      <c r="I840" s="174"/>
      <c r="J840" s="174"/>
      <c r="K840" s="66"/>
      <c r="L840" s="66"/>
      <c r="M840" s="45"/>
    </row>
    <row r="841" spans="1:13" ht="15" customHeight="1" x14ac:dyDescent="0.25">
      <c r="A841" s="175"/>
      <c r="B841" s="170"/>
      <c r="C841" s="210"/>
      <c r="D841" s="170"/>
      <c r="E841" s="176">
        <f t="shared" si="13"/>
        <v>662274.450000023</v>
      </c>
      <c r="F841" s="173"/>
      <c r="G841" s="174"/>
      <c r="H841" s="177"/>
      <c r="I841" s="197"/>
      <c r="J841" s="174"/>
      <c r="K841" s="66"/>
      <c r="L841" s="66"/>
      <c r="M841" s="45"/>
    </row>
    <row r="842" spans="1:13" ht="15" customHeight="1" x14ac:dyDescent="0.25">
      <c r="A842" s="175"/>
      <c r="B842" s="170"/>
      <c r="C842" s="210"/>
      <c r="D842" s="170"/>
      <c r="E842" s="176">
        <f t="shared" si="13"/>
        <v>662274.450000023</v>
      </c>
      <c r="F842" s="174"/>
      <c r="G842" s="174"/>
      <c r="H842" s="174"/>
      <c r="I842" s="174"/>
      <c r="J842" s="174"/>
      <c r="K842" s="66"/>
      <c r="L842" s="66"/>
      <c r="M842" s="45"/>
    </row>
    <row r="843" spans="1:13" ht="15" customHeight="1" x14ac:dyDescent="0.25">
      <c r="A843" s="175"/>
      <c r="B843" s="170"/>
      <c r="C843" s="210"/>
      <c r="D843" s="170"/>
      <c r="E843" s="176">
        <f t="shared" si="13"/>
        <v>662274.450000023</v>
      </c>
      <c r="F843" s="174"/>
      <c r="G843" s="174"/>
      <c r="H843" s="174"/>
      <c r="I843" s="174"/>
      <c r="J843" s="174"/>
      <c r="K843" s="66"/>
      <c r="L843" s="66"/>
      <c r="M843" s="45"/>
    </row>
    <row r="844" spans="1:13" ht="15" customHeight="1" x14ac:dyDescent="0.25">
      <c r="A844" s="175"/>
      <c r="B844" s="170"/>
      <c r="C844" s="210"/>
      <c r="D844" s="170"/>
      <c r="E844" s="176">
        <f t="shared" si="13"/>
        <v>662274.450000023</v>
      </c>
      <c r="F844" s="174"/>
      <c r="G844" s="174"/>
      <c r="H844" s="174"/>
      <c r="I844" s="174"/>
      <c r="J844" s="174"/>
      <c r="K844" s="66"/>
      <c r="L844" s="66"/>
      <c r="M844" s="45"/>
    </row>
    <row r="845" spans="1:13" ht="15" customHeight="1" x14ac:dyDescent="0.25">
      <c r="A845" s="175"/>
      <c r="B845" s="170"/>
      <c r="C845" s="210"/>
      <c r="D845" s="170"/>
      <c r="E845" s="176">
        <f t="shared" si="13"/>
        <v>662274.450000023</v>
      </c>
      <c r="F845" s="174"/>
      <c r="G845" s="174"/>
      <c r="H845" s="174"/>
      <c r="I845" s="174"/>
      <c r="J845" s="174"/>
      <c r="K845" s="66"/>
      <c r="L845" s="66"/>
      <c r="M845" s="45"/>
    </row>
    <row r="846" spans="1:13" ht="15" customHeight="1" x14ac:dyDescent="0.25">
      <c r="A846" s="175"/>
      <c r="B846" s="170"/>
      <c r="C846" s="210"/>
      <c r="D846" s="170"/>
      <c r="E846" s="176">
        <f t="shared" si="13"/>
        <v>662274.450000023</v>
      </c>
      <c r="F846" s="174"/>
      <c r="G846" s="174"/>
      <c r="H846" s="174"/>
      <c r="I846" s="174"/>
      <c r="J846" s="174"/>
      <c r="K846" s="66"/>
      <c r="L846" s="66"/>
      <c r="M846" s="45"/>
    </row>
    <row r="847" spans="1:13" ht="15" customHeight="1" x14ac:dyDescent="0.25">
      <c r="A847" s="175"/>
      <c r="B847" s="170"/>
      <c r="C847" s="210"/>
      <c r="D847" s="170"/>
      <c r="E847" s="176">
        <f t="shared" si="13"/>
        <v>662274.450000023</v>
      </c>
      <c r="F847" s="174"/>
      <c r="G847" s="174"/>
      <c r="H847" s="174"/>
      <c r="I847" s="174"/>
      <c r="J847" s="174"/>
      <c r="K847" s="66"/>
      <c r="L847" s="66"/>
      <c r="M847" s="45"/>
    </row>
    <row r="848" spans="1:13" ht="15" customHeight="1" x14ac:dyDescent="0.25">
      <c r="A848" s="175"/>
      <c r="B848" s="170"/>
      <c r="C848" s="210"/>
      <c r="D848" s="170"/>
      <c r="E848" s="176">
        <f t="shared" si="13"/>
        <v>662274.450000023</v>
      </c>
      <c r="F848" s="174"/>
      <c r="G848" s="174"/>
      <c r="H848" s="174"/>
      <c r="I848" s="174"/>
      <c r="J848" s="174"/>
      <c r="K848" s="66"/>
      <c r="L848" s="66"/>
      <c r="M848" s="45"/>
    </row>
    <row r="849" spans="1:13" ht="15" customHeight="1" x14ac:dyDescent="0.25">
      <c r="A849" s="175"/>
      <c r="B849" s="170"/>
      <c r="C849" s="210"/>
      <c r="D849" s="170"/>
      <c r="E849" s="176">
        <f t="shared" si="13"/>
        <v>662274.450000023</v>
      </c>
      <c r="F849" s="174"/>
      <c r="G849" s="174"/>
      <c r="H849" s="174"/>
      <c r="I849" s="174"/>
      <c r="J849" s="174"/>
      <c r="K849" s="66"/>
      <c r="L849" s="66"/>
      <c r="M849" s="45"/>
    </row>
    <row r="850" spans="1:13" ht="15" customHeight="1" x14ac:dyDescent="0.25">
      <c r="A850" s="175"/>
      <c r="B850" s="170"/>
      <c r="C850" s="210"/>
      <c r="D850" s="170"/>
      <c r="E850" s="176">
        <f t="shared" si="13"/>
        <v>662274.450000023</v>
      </c>
      <c r="F850" s="174"/>
      <c r="G850" s="174"/>
      <c r="H850" s="174"/>
      <c r="I850" s="174"/>
      <c r="J850" s="174"/>
      <c r="K850" s="66"/>
      <c r="L850" s="66"/>
      <c r="M850" s="45"/>
    </row>
    <row r="851" spans="1:13" ht="15" customHeight="1" x14ac:dyDescent="0.25">
      <c r="A851" s="175"/>
      <c r="B851" s="170"/>
      <c r="C851" s="210"/>
      <c r="D851" s="170"/>
      <c r="E851" s="176">
        <f t="shared" si="13"/>
        <v>662274.450000023</v>
      </c>
      <c r="F851" s="174"/>
      <c r="G851" s="174"/>
      <c r="H851" s="174"/>
      <c r="I851" s="174"/>
      <c r="J851" s="174"/>
      <c r="K851" s="66"/>
      <c r="L851" s="66"/>
      <c r="M851" s="45"/>
    </row>
    <row r="852" spans="1:13" ht="15" customHeight="1" x14ac:dyDescent="0.25">
      <c r="A852" s="175"/>
      <c r="B852" s="170"/>
      <c r="C852" s="210"/>
      <c r="D852" s="170"/>
      <c r="E852" s="176">
        <f t="shared" si="13"/>
        <v>662274.450000023</v>
      </c>
      <c r="F852" s="174"/>
      <c r="G852" s="174"/>
      <c r="H852" s="174"/>
      <c r="I852" s="174"/>
      <c r="J852" s="174"/>
      <c r="K852" s="66"/>
      <c r="L852" s="66"/>
      <c r="M852" s="45"/>
    </row>
    <row r="853" spans="1:13" ht="15" customHeight="1" x14ac:dyDescent="0.25">
      <c r="A853" s="175"/>
      <c r="B853" s="170"/>
      <c r="C853" s="210"/>
      <c r="D853" s="170"/>
      <c r="E853" s="176">
        <f t="shared" si="13"/>
        <v>662274.450000023</v>
      </c>
      <c r="F853" s="174"/>
      <c r="G853" s="174"/>
      <c r="H853" s="174"/>
      <c r="I853" s="174"/>
      <c r="J853" s="174"/>
      <c r="K853" s="66"/>
      <c r="L853" s="66"/>
      <c r="M853" s="45"/>
    </row>
    <row r="854" spans="1:13" ht="15" customHeight="1" x14ac:dyDescent="0.25">
      <c r="A854" s="175"/>
      <c r="B854" s="170"/>
      <c r="C854" s="210"/>
      <c r="D854" s="170"/>
      <c r="E854" s="176">
        <f t="shared" si="13"/>
        <v>662274.450000023</v>
      </c>
      <c r="F854" s="174"/>
      <c r="G854" s="174"/>
      <c r="H854" s="174"/>
      <c r="I854" s="174"/>
      <c r="J854" s="174"/>
      <c r="K854" s="66"/>
      <c r="L854" s="66"/>
      <c r="M854" s="45"/>
    </row>
    <row r="855" spans="1:13" ht="15" customHeight="1" x14ac:dyDescent="0.25">
      <c r="A855" s="175"/>
      <c r="B855" s="170"/>
      <c r="C855" s="210"/>
      <c r="D855" s="170"/>
      <c r="E855" s="176">
        <f t="shared" si="13"/>
        <v>662274.450000023</v>
      </c>
      <c r="F855" s="174"/>
      <c r="G855" s="174"/>
      <c r="H855" s="174"/>
      <c r="I855" s="174"/>
      <c r="J855" s="174"/>
      <c r="K855" s="66"/>
      <c r="L855" s="66"/>
      <c r="M855" s="45"/>
    </row>
    <row r="856" spans="1:13" ht="15" customHeight="1" x14ac:dyDescent="0.25">
      <c r="A856" s="175"/>
      <c r="B856" s="170"/>
      <c r="C856" s="210"/>
      <c r="D856" s="170"/>
      <c r="E856" s="176">
        <f t="shared" si="13"/>
        <v>662274.450000023</v>
      </c>
      <c r="F856" s="174"/>
      <c r="G856" s="174"/>
      <c r="H856" s="174"/>
      <c r="I856" s="174"/>
      <c r="J856" s="174"/>
      <c r="K856" s="66"/>
      <c r="L856" s="66"/>
      <c r="M856" s="45"/>
    </row>
    <row r="857" spans="1:13" ht="15" customHeight="1" x14ac:dyDescent="0.25">
      <c r="A857" s="175"/>
      <c r="B857" s="170"/>
      <c r="C857" s="210"/>
      <c r="D857" s="170"/>
      <c r="E857" s="176">
        <f t="shared" si="13"/>
        <v>662274.450000023</v>
      </c>
      <c r="F857" s="174"/>
      <c r="G857" s="174"/>
      <c r="H857" s="174"/>
      <c r="I857" s="174"/>
      <c r="J857" s="174"/>
      <c r="K857" s="66"/>
      <c r="L857" s="66"/>
      <c r="M857" s="45"/>
    </row>
    <row r="858" spans="1:13" ht="15" customHeight="1" x14ac:dyDescent="0.25">
      <c r="A858" s="175"/>
      <c r="B858" s="170"/>
      <c r="C858" s="210"/>
      <c r="D858" s="170"/>
      <c r="E858" s="176">
        <f t="shared" si="13"/>
        <v>662274.450000023</v>
      </c>
      <c r="F858" s="174"/>
      <c r="G858" s="174"/>
      <c r="H858" s="174"/>
      <c r="I858" s="174"/>
      <c r="J858" s="174"/>
      <c r="K858" s="66"/>
      <c r="L858" s="66"/>
      <c r="M858" s="45"/>
    </row>
    <row r="859" spans="1:13" ht="15" customHeight="1" x14ac:dyDescent="0.25">
      <c r="A859" s="175"/>
      <c r="B859" s="170"/>
      <c r="C859" s="210"/>
      <c r="D859" s="170"/>
      <c r="E859" s="176">
        <f t="shared" si="13"/>
        <v>662274.450000023</v>
      </c>
      <c r="F859" s="174"/>
      <c r="G859" s="174"/>
      <c r="H859" s="174"/>
      <c r="I859" s="174"/>
      <c r="J859" s="174"/>
      <c r="K859" s="66"/>
      <c r="L859" s="66"/>
      <c r="M859" s="45"/>
    </row>
    <row r="860" spans="1:13" ht="15" customHeight="1" x14ac:dyDescent="0.25">
      <c r="A860" s="175"/>
      <c r="B860" s="170"/>
      <c r="C860" s="210"/>
      <c r="D860" s="170"/>
      <c r="E860" s="176">
        <f t="shared" si="13"/>
        <v>662274.450000023</v>
      </c>
      <c r="F860" s="174"/>
      <c r="G860" s="174"/>
      <c r="H860" s="174"/>
      <c r="I860" s="174"/>
      <c r="J860" s="174"/>
      <c r="K860" s="66"/>
      <c r="L860" s="66"/>
      <c r="M860" s="45"/>
    </row>
    <row r="861" spans="1:13" ht="15" customHeight="1" x14ac:dyDescent="0.25">
      <c r="A861" s="175"/>
      <c r="B861" s="170"/>
      <c r="C861" s="210"/>
      <c r="D861" s="170"/>
      <c r="E861" s="176">
        <f t="shared" si="13"/>
        <v>662274.450000023</v>
      </c>
      <c r="F861" s="174"/>
      <c r="G861" s="174"/>
      <c r="H861" s="174"/>
      <c r="I861" s="174"/>
      <c r="J861" s="174"/>
      <c r="K861" s="66"/>
      <c r="L861" s="66"/>
      <c r="M861" s="45"/>
    </row>
    <row r="862" spans="1:13" ht="15" customHeight="1" x14ac:dyDescent="0.25">
      <c r="A862" s="175"/>
      <c r="B862" s="170"/>
      <c r="C862" s="210"/>
      <c r="D862" s="170"/>
      <c r="E862" s="176">
        <f t="shared" si="13"/>
        <v>662274.450000023</v>
      </c>
      <c r="F862" s="174"/>
      <c r="G862" s="174"/>
      <c r="H862" s="174"/>
      <c r="I862" s="174"/>
      <c r="J862" s="174"/>
      <c r="K862" s="66"/>
      <c r="L862" s="66"/>
      <c r="M862" s="45"/>
    </row>
    <row r="863" spans="1:13" ht="15" customHeight="1" x14ac:dyDescent="0.25">
      <c r="A863" s="175"/>
      <c r="B863" s="170"/>
      <c r="C863" s="210"/>
      <c r="D863" s="170"/>
      <c r="E863" s="176">
        <f t="shared" si="13"/>
        <v>662274.450000023</v>
      </c>
      <c r="F863" s="174"/>
      <c r="G863" s="174"/>
      <c r="H863" s="174"/>
      <c r="I863" s="174"/>
      <c r="J863" s="174"/>
      <c r="K863" s="66"/>
      <c r="L863" s="66"/>
      <c r="M863" s="45"/>
    </row>
    <row r="864" spans="1:13" ht="15" customHeight="1" x14ac:dyDescent="0.25">
      <c r="A864" s="175"/>
      <c r="B864" s="170"/>
      <c r="C864" s="210"/>
      <c r="D864" s="170"/>
      <c r="E864" s="176">
        <f t="shared" si="13"/>
        <v>662274.450000023</v>
      </c>
      <c r="F864" s="174"/>
      <c r="G864" s="174"/>
      <c r="H864" s="174"/>
      <c r="I864" s="174"/>
      <c r="J864" s="174"/>
      <c r="K864" s="66"/>
      <c r="L864" s="66"/>
      <c r="M864" s="45"/>
    </row>
    <row r="865" spans="1:13" ht="15" customHeight="1" x14ac:dyDescent="0.25">
      <c r="A865" s="175"/>
      <c r="B865" s="170"/>
      <c r="C865" s="210"/>
      <c r="D865" s="170"/>
      <c r="E865" s="176">
        <f t="shared" si="13"/>
        <v>662274.450000023</v>
      </c>
      <c r="F865" s="174"/>
      <c r="G865" s="174"/>
      <c r="H865" s="174"/>
      <c r="I865" s="174"/>
      <c r="J865" s="174"/>
      <c r="K865" s="66"/>
      <c r="L865" s="66"/>
      <c r="M865" s="45"/>
    </row>
    <row r="866" spans="1:13" ht="15" customHeight="1" x14ac:dyDescent="0.25">
      <c r="A866" s="175"/>
      <c r="B866" s="170"/>
      <c r="C866" s="210"/>
      <c r="D866" s="170"/>
      <c r="E866" s="176">
        <f t="shared" si="13"/>
        <v>662274.450000023</v>
      </c>
      <c r="F866" s="174"/>
      <c r="G866" s="174"/>
      <c r="H866" s="174"/>
      <c r="I866" s="174"/>
      <c r="J866" s="174"/>
      <c r="K866" s="66"/>
      <c r="L866" s="66"/>
      <c r="M866" s="45"/>
    </row>
    <row r="867" spans="1:13" ht="15" customHeight="1" x14ac:dyDescent="0.25">
      <c r="A867" s="175"/>
      <c r="B867" s="170"/>
      <c r="C867" s="210"/>
      <c r="D867" s="170"/>
      <c r="E867" s="176">
        <f t="shared" si="13"/>
        <v>662274.450000023</v>
      </c>
      <c r="F867" s="174"/>
      <c r="G867" s="174"/>
      <c r="H867" s="174"/>
      <c r="I867" s="174"/>
      <c r="J867" s="174"/>
      <c r="K867" s="66"/>
      <c r="L867" s="66"/>
      <c r="M867" s="45"/>
    </row>
    <row r="868" spans="1:13" ht="15" customHeight="1" x14ac:dyDescent="0.25">
      <c r="A868" s="175"/>
      <c r="B868" s="170"/>
      <c r="C868" s="210"/>
      <c r="D868" s="170"/>
      <c r="E868" s="176">
        <f t="shared" si="13"/>
        <v>662274.450000023</v>
      </c>
      <c r="F868" s="174"/>
      <c r="G868" s="174"/>
      <c r="H868" s="174"/>
      <c r="I868" s="174"/>
      <c r="J868" s="174"/>
      <c r="K868" s="66"/>
      <c r="L868" s="66"/>
      <c r="M868" s="45"/>
    </row>
    <row r="869" spans="1:13" ht="15" customHeight="1" x14ac:dyDescent="0.25">
      <c r="A869" s="175"/>
      <c r="B869" s="170"/>
      <c r="C869" s="210"/>
      <c r="D869" s="170"/>
      <c r="E869" s="176">
        <f t="shared" si="13"/>
        <v>662274.450000023</v>
      </c>
      <c r="F869" s="174"/>
      <c r="G869" s="174"/>
      <c r="H869" s="174"/>
      <c r="I869" s="174"/>
      <c r="J869" s="174"/>
      <c r="K869" s="66"/>
      <c r="L869" s="66"/>
      <c r="M869" s="45"/>
    </row>
    <row r="870" spans="1:13" ht="15" customHeight="1" x14ac:dyDescent="0.25">
      <c r="A870" s="175"/>
      <c r="B870" s="170"/>
      <c r="C870" s="210"/>
      <c r="D870" s="170"/>
      <c r="E870" s="176">
        <f t="shared" si="13"/>
        <v>662274.450000023</v>
      </c>
      <c r="F870" s="174"/>
      <c r="G870" s="174"/>
      <c r="H870" s="174"/>
      <c r="I870" s="174"/>
      <c r="J870" s="174"/>
      <c r="K870" s="66"/>
      <c r="L870" s="66"/>
      <c r="M870" s="45"/>
    </row>
    <row r="871" spans="1:13" ht="15" customHeight="1" x14ac:dyDescent="0.25">
      <c r="A871" s="175"/>
      <c r="B871" s="170"/>
      <c r="C871" s="210"/>
      <c r="D871" s="170"/>
      <c r="E871" s="176">
        <f t="shared" si="13"/>
        <v>662274.450000023</v>
      </c>
      <c r="F871" s="174"/>
      <c r="G871" s="174"/>
      <c r="H871" s="174"/>
      <c r="I871" s="174"/>
      <c r="J871" s="174"/>
      <c r="K871" s="66"/>
      <c r="L871" s="66"/>
      <c r="M871" s="45"/>
    </row>
    <row r="872" spans="1:13" ht="15" customHeight="1" x14ac:dyDescent="0.25">
      <c r="A872" s="175"/>
      <c r="B872" s="170"/>
      <c r="C872" s="210"/>
      <c r="D872" s="170"/>
      <c r="E872" s="176">
        <f t="shared" si="13"/>
        <v>662274.450000023</v>
      </c>
      <c r="F872" s="174"/>
      <c r="G872" s="174"/>
      <c r="H872" s="174"/>
      <c r="I872" s="174"/>
      <c r="J872" s="174"/>
      <c r="K872" s="66"/>
      <c r="L872" s="66"/>
      <c r="M872" s="45"/>
    </row>
    <row r="873" spans="1:13" ht="15" customHeight="1" x14ac:dyDescent="0.25">
      <c r="A873" s="175"/>
      <c r="B873" s="170"/>
      <c r="C873" s="210"/>
      <c r="D873" s="170"/>
      <c r="E873" s="176">
        <f t="shared" si="13"/>
        <v>662274.450000023</v>
      </c>
      <c r="F873" s="174"/>
      <c r="G873" s="174"/>
      <c r="H873" s="174"/>
      <c r="I873" s="174"/>
      <c r="J873" s="174"/>
      <c r="K873" s="66"/>
      <c r="L873" s="66"/>
      <c r="M873" s="45"/>
    </row>
    <row r="874" spans="1:13" ht="15" customHeight="1" x14ac:dyDescent="0.25">
      <c r="A874" s="175"/>
      <c r="B874" s="170"/>
      <c r="C874" s="210"/>
      <c r="D874" s="170"/>
      <c r="E874" s="176">
        <f t="shared" si="13"/>
        <v>662274.450000023</v>
      </c>
      <c r="F874" s="174"/>
      <c r="G874" s="174"/>
      <c r="H874" s="174"/>
      <c r="I874" s="174"/>
      <c r="J874" s="174"/>
      <c r="K874" s="66"/>
      <c r="L874" s="66"/>
      <c r="M874" s="45"/>
    </row>
    <row r="875" spans="1:13" ht="15" customHeight="1" x14ac:dyDescent="0.25">
      <c r="A875" s="175"/>
      <c r="B875" s="170"/>
      <c r="C875" s="210"/>
      <c r="D875" s="170"/>
      <c r="E875" s="176">
        <f t="shared" si="13"/>
        <v>662274.450000023</v>
      </c>
      <c r="F875" s="174"/>
      <c r="G875" s="174"/>
      <c r="H875" s="174"/>
      <c r="I875" s="174"/>
      <c r="J875" s="174"/>
      <c r="K875" s="66"/>
      <c r="L875" s="66"/>
      <c r="M875" s="45"/>
    </row>
    <row r="876" spans="1:13" ht="15" customHeight="1" x14ac:dyDescent="0.25">
      <c r="A876" s="175"/>
      <c r="B876" s="170"/>
      <c r="C876" s="210"/>
      <c r="D876" s="170"/>
      <c r="E876" s="176">
        <f t="shared" si="13"/>
        <v>662274.450000023</v>
      </c>
      <c r="F876" s="174"/>
      <c r="G876" s="174"/>
      <c r="H876" s="174"/>
      <c r="I876" s="174"/>
      <c r="J876" s="174"/>
      <c r="K876" s="66"/>
      <c r="L876" s="66"/>
      <c r="M876" s="45"/>
    </row>
    <row r="877" spans="1:13" ht="15" customHeight="1" x14ac:dyDescent="0.25">
      <c r="A877" s="175"/>
      <c r="B877" s="170"/>
      <c r="C877" s="210"/>
      <c r="D877" s="170"/>
      <c r="E877" s="176">
        <f t="shared" si="13"/>
        <v>662274.450000023</v>
      </c>
      <c r="F877" s="204"/>
      <c r="G877" s="181"/>
      <c r="H877" s="205"/>
      <c r="I877" s="181"/>
      <c r="J877" s="206"/>
      <c r="K877" s="66"/>
      <c r="L877" s="66"/>
      <c r="M877" s="45"/>
    </row>
    <row r="878" spans="1:13" ht="15" customHeight="1" x14ac:dyDescent="0.25">
      <c r="A878" s="175"/>
      <c r="B878" s="170"/>
      <c r="C878" s="210"/>
      <c r="D878" s="170"/>
      <c r="E878" s="176">
        <f t="shared" si="13"/>
        <v>662274.450000023</v>
      </c>
      <c r="F878" s="174"/>
      <c r="G878" s="174"/>
      <c r="H878" s="174"/>
      <c r="I878" s="174"/>
      <c r="J878" s="174"/>
      <c r="K878" s="66"/>
      <c r="L878" s="66"/>
      <c r="M878" s="45"/>
    </row>
    <row r="879" spans="1:13" ht="15" customHeight="1" x14ac:dyDescent="0.25">
      <c r="A879" s="175"/>
      <c r="B879" s="170"/>
      <c r="C879" s="210"/>
      <c r="D879" s="170"/>
      <c r="E879" s="176">
        <f t="shared" si="13"/>
        <v>662274.450000023</v>
      </c>
      <c r="F879" s="173"/>
      <c r="G879" s="174"/>
      <c r="H879" s="177"/>
      <c r="I879" s="197"/>
      <c r="J879" s="174"/>
      <c r="K879" s="66"/>
      <c r="L879" s="66"/>
      <c r="M879" s="45"/>
    </row>
    <row r="880" spans="1:13" ht="15" customHeight="1" x14ac:dyDescent="0.25">
      <c r="A880" s="175"/>
      <c r="B880" s="170"/>
      <c r="C880" s="210"/>
      <c r="D880" s="170"/>
      <c r="E880" s="176">
        <f t="shared" si="13"/>
        <v>662274.450000023</v>
      </c>
      <c r="F880" s="173"/>
      <c r="G880" s="174"/>
      <c r="H880" s="177"/>
      <c r="I880" s="197"/>
      <c r="J880" s="174"/>
      <c r="K880" s="66"/>
      <c r="L880" s="66"/>
      <c r="M880" s="45"/>
    </row>
    <row r="881" spans="1:13" ht="15" customHeight="1" x14ac:dyDescent="0.25">
      <c r="A881" s="175"/>
      <c r="B881" s="170"/>
      <c r="C881" s="210"/>
      <c r="D881" s="170"/>
      <c r="E881" s="176">
        <f t="shared" si="13"/>
        <v>662274.450000023</v>
      </c>
      <c r="F881" s="174"/>
      <c r="G881" s="174"/>
      <c r="H881" s="174"/>
      <c r="I881" s="174"/>
      <c r="J881" s="174"/>
      <c r="K881" s="66"/>
      <c r="L881" s="66"/>
      <c r="M881" s="45"/>
    </row>
    <row r="882" spans="1:13" ht="15" customHeight="1" x14ac:dyDescent="0.25">
      <c r="A882" s="175"/>
      <c r="B882" s="170"/>
      <c r="C882" s="210"/>
      <c r="D882" s="170"/>
      <c r="E882" s="176">
        <f t="shared" si="13"/>
        <v>662274.450000023</v>
      </c>
      <c r="F882" s="174"/>
      <c r="G882" s="174"/>
      <c r="H882" s="174"/>
      <c r="I882" s="174"/>
      <c r="J882" s="174"/>
      <c r="K882" s="66"/>
      <c r="L882" s="66"/>
      <c r="M882" s="45"/>
    </row>
    <row r="883" spans="1:13" ht="15" customHeight="1" x14ac:dyDescent="0.25">
      <c r="A883" s="175"/>
      <c r="B883" s="170"/>
      <c r="C883" s="210"/>
      <c r="D883" s="170"/>
      <c r="E883" s="176">
        <f t="shared" si="13"/>
        <v>662274.450000023</v>
      </c>
      <c r="F883" s="174"/>
      <c r="G883" s="174"/>
      <c r="H883" s="174"/>
      <c r="I883" s="174"/>
      <c r="J883" s="174"/>
      <c r="K883" s="66"/>
      <c r="L883" s="66"/>
      <c r="M883" s="45"/>
    </row>
    <row r="884" spans="1:13" ht="15" customHeight="1" x14ac:dyDescent="0.25">
      <c r="A884" s="175"/>
      <c r="B884" s="170"/>
      <c r="C884" s="210"/>
      <c r="D884" s="170"/>
      <c r="E884" s="176">
        <f t="shared" si="13"/>
        <v>662274.450000023</v>
      </c>
      <c r="F884" s="174"/>
      <c r="G884" s="174"/>
      <c r="H884" s="174"/>
      <c r="I884" s="174"/>
      <c r="J884" s="174"/>
      <c r="K884" s="66"/>
      <c r="L884" s="66"/>
      <c r="M884" s="45"/>
    </row>
    <row r="885" spans="1:13" ht="15" customHeight="1" x14ac:dyDescent="0.25">
      <c r="A885" s="175"/>
      <c r="B885" s="170"/>
      <c r="C885" s="210"/>
      <c r="D885" s="170"/>
      <c r="E885" s="176">
        <f t="shared" si="13"/>
        <v>662274.450000023</v>
      </c>
      <c r="F885" s="174"/>
      <c r="G885" s="174"/>
      <c r="H885" s="174"/>
      <c r="I885" s="174"/>
      <c r="J885" s="174"/>
      <c r="K885" s="66"/>
      <c r="L885" s="66"/>
      <c r="M885" s="45"/>
    </row>
    <row r="886" spans="1:13" ht="15" customHeight="1" x14ac:dyDescent="0.25">
      <c r="A886" s="175"/>
      <c r="B886" s="170"/>
      <c r="C886" s="210"/>
      <c r="D886" s="170"/>
      <c r="E886" s="176">
        <f t="shared" si="13"/>
        <v>662274.450000023</v>
      </c>
      <c r="F886" s="174"/>
      <c r="G886" s="174"/>
      <c r="H886" s="174"/>
      <c r="I886" s="174"/>
      <c r="J886" s="174"/>
      <c r="K886" s="66"/>
      <c r="L886" s="66"/>
      <c r="M886" s="45"/>
    </row>
    <row r="887" spans="1:13" ht="15" customHeight="1" x14ac:dyDescent="0.25">
      <c r="A887" s="175"/>
      <c r="B887" s="170"/>
      <c r="C887" s="210"/>
      <c r="D887" s="170"/>
      <c r="E887" s="176">
        <f t="shared" si="13"/>
        <v>662274.450000023</v>
      </c>
      <c r="F887" s="174"/>
      <c r="G887" s="174"/>
      <c r="H887" s="174"/>
      <c r="I887" s="174"/>
      <c r="J887" s="174"/>
      <c r="K887" s="66"/>
      <c r="L887" s="66"/>
      <c r="M887" s="45"/>
    </row>
    <row r="888" spans="1:13" ht="15" customHeight="1" x14ac:dyDescent="0.25">
      <c r="A888" s="175"/>
      <c r="B888" s="170"/>
      <c r="C888" s="210"/>
      <c r="D888" s="170"/>
      <c r="E888" s="176">
        <f t="shared" si="13"/>
        <v>662274.450000023</v>
      </c>
      <c r="F888" s="174"/>
      <c r="G888" s="174"/>
      <c r="H888" s="174"/>
      <c r="I888" s="174"/>
      <c r="J888" s="174"/>
      <c r="K888" s="66"/>
      <c r="L888" s="66"/>
      <c r="M888" s="45"/>
    </row>
    <row r="889" spans="1:13" ht="15" customHeight="1" x14ac:dyDescent="0.25">
      <c r="A889" s="175"/>
      <c r="B889" s="170"/>
      <c r="C889" s="210"/>
      <c r="D889" s="170"/>
      <c r="E889" s="176">
        <f t="shared" si="13"/>
        <v>662274.450000023</v>
      </c>
      <c r="F889" s="174"/>
      <c r="G889" s="174"/>
      <c r="H889" s="174"/>
      <c r="I889" s="174"/>
      <c r="J889" s="174"/>
      <c r="K889" s="66"/>
      <c r="L889" s="66"/>
      <c r="M889" s="45"/>
    </row>
    <row r="890" spans="1:13" ht="15" customHeight="1" x14ac:dyDescent="0.25">
      <c r="A890" s="175"/>
      <c r="B890" s="170"/>
      <c r="C890" s="210"/>
      <c r="D890" s="170"/>
      <c r="E890" s="176">
        <f t="shared" si="13"/>
        <v>662274.450000023</v>
      </c>
      <c r="F890" s="174"/>
      <c r="G890" s="174"/>
      <c r="H890" s="174"/>
      <c r="I890" s="174"/>
      <c r="J890" s="174"/>
      <c r="K890" s="66"/>
      <c r="L890" s="66"/>
      <c r="M890" s="45"/>
    </row>
    <row r="891" spans="1:13" ht="15" customHeight="1" x14ac:dyDescent="0.25">
      <c r="A891" s="175"/>
      <c r="B891" s="170"/>
      <c r="C891" s="210"/>
      <c r="D891" s="170"/>
      <c r="E891" s="176">
        <f t="shared" si="13"/>
        <v>662274.450000023</v>
      </c>
      <c r="F891" s="211"/>
      <c r="G891" s="183"/>
      <c r="H891" s="212"/>
      <c r="I891" s="183"/>
      <c r="J891" s="213"/>
      <c r="K891" s="66"/>
      <c r="L891" s="66"/>
      <c r="M891" s="45"/>
    </row>
    <row r="892" spans="1:13" ht="15" customHeight="1" x14ac:dyDescent="0.25">
      <c r="A892" s="175"/>
      <c r="B892" s="170"/>
      <c r="C892" s="210"/>
      <c r="D892" s="170"/>
      <c r="E892" s="176">
        <f t="shared" si="13"/>
        <v>662274.450000023</v>
      </c>
      <c r="F892" s="174"/>
      <c r="G892" s="174"/>
      <c r="H892" s="174"/>
      <c r="I892" s="174"/>
      <c r="J892" s="174"/>
      <c r="K892" s="66"/>
      <c r="L892" s="66"/>
      <c r="M892" s="45"/>
    </row>
    <row r="893" spans="1:13" ht="15" customHeight="1" x14ac:dyDescent="0.25">
      <c r="A893" s="175"/>
      <c r="B893" s="170"/>
      <c r="C893" s="210"/>
      <c r="D893" s="170"/>
      <c r="E893" s="176">
        <f t="shared" si="13"/>
        <v>662274.450000023</v>
      </c>
      <c r="F893" s="173"/>
      <c r="G893" s="174"/>
      <c r="H893" s="177"/>
      <c r="I893" s="197"/>
      <c r="J893" s="174"/>
      <c r="K893" s="66"/>
      <c r="L893" s="66"/>
      <c r="M893" s="45"/>
    </row>
    <row r="894" spans="1:13" ht="15" customHeight="1" x14ac:dyDescent="0.25">
      <c r="A894" s="175"/>
      <c r="B894" s="170"/>
      <c r="C894" s="210"/>
      <c r="D894" s="170"/>
      <c r="E894" s="176">
        <f t="shared" si="13"/>
        <v>662274.450000023</v>
      </c>
      <c r="F894" s="173"/>
      <c r="G894" s="174"/>
      <c r="H894" s="177"/>
      <c r="I894" s="197"/>
      <c r="J894" s="174"/>
      <c r="K894" s="66"/>
      <c r="L894" s="66"/>
      <c r="M894" s="45"/>
    </row>
    <row r="895" spans="1:13" ht="15" customHeight="1" x14ac:dyDescent="0.25">
      <c r="A895" s="175"/>
      <c r="B895" s="170"/>
      <c r="C895" s="210"/>
      <c r="D895" s="170"/>
      <c r="E895" s="176">
        <f t="shared" si="13"/>
        <v>662274.450000023</v>
      </c>
      <c r="F895" s="174"/>
      <c r="G895" s="174"/>
      <c r="H895" s="174"/>
      <c r="I895" s="174"/>
      <c r="J895" s="174"/>
      <c r="K895" s="66"/>
      <c r="L895" s="66"/>
      <c r="M895" s="45"/>
    </row>
    <row r="896" spans="1:13" ht="15" customHeight="1" x14ac:dyDescent="0.25">
      <c r="A896" s="175"/>
      <c r="B896" s="170"/>
      <c r="C896" s="210"/>
      <c r="D896" s="170"/>
      <c r="E896" s="176">
        <f t="shared" si="13"/>
        <v>662274.450000023</v>
      </c>
      <c r="F896" s="174"/>
      <c r="G896" s="174"/>
      <c r="H896" s="174"/>
      <c r="I896" s="174"/>
      <c r="J896" s="174"/>
      <c r="K896" s="66"/>
      <c r="L896" s="66"/>
      <c r="M896" s="45"/>
    </row>
    <row r="897" spans="1:13" ht="15" customHeight="1" x14ac:dyDescent="0.25">
      <c r="A897" s="175"/>
      <c r="B897" s="170"/>
      <c r="C897" s="210"/>
      <c r="D897" s="170"/>
      <c r="E897" s="176">
        <f t="shared" si="13"/>
        <v>662274.450000023</v>
      </c>
      <c r="F897" s="174"/>
      <c r="G897" s="174"/>
      <c r="H897" s="174"/>
      <c r="I897" s="174"/>
      <c r="J897" s="174"/>
      <c r="K897" s="66"/>
      <c r="L897" s="66"/>
      <c r="M897" s="45"/>
    </row>
    <row r="898" spans="1:13" ht="15" customHeight="1" x14ac:dyDescent="0.25">
      <c r="A898" s="175"/>
      <c r="B898" s="170"/>
      <c r="C898" s="210"/>
      <c r="D898" s="170"/>
      <c r="E898" s="176">
        <f t="shared" si="13"/>
        <v>662274.450000023</v>
      </c>
      <c r="F898" s="174"/>
      <c r="G898" s="174"/>
      <c r="H898" s="174"/>
      <c r="I898" s="174"/>
      <c r="J898" s="174"/>
      <c r="K898" s="66"/>
      <c r="L898" s="66"/>
      <c r="M898" s="45"/>
    </row>
    <row r="899" spans="1:13" ht="15" customHeight="1" x14ac:dyDescent="0.25">
      <c r="A899" s="175"/>
      <c r="B899" s="170"/>
      <c r="C899" s="210"/>
      <c r="D899" s="170"/>
      <c r="E899" s="176">
        <f t="shared" si="13"/>
        <v>662274.450000023</v>
      </c>
      <c r="F899" s="174"/>
      <c r="G899" s="174"/>
      <c r="H899" s="174"/>
      <c r="I899" s="174"/>
      <c r="J899" s="174"/>
      <c r="K899" s="66"/>
      <c r="L899" s="66"/>
      <c r="M899" s="45"/>
    </row>
    <row r="900" spans="1:13" ht="15" customHeight="1" x14ac:dyDescent="0.25">
      <c r="A900" s="175"/>
      <c r="B900" s="170"/>
      <c r="C900" s="210"/>
      <c r="D900" s="170"/>
      <c r="E900" s="176">
        <f t="shared" si="13"/>
        <v>662274.450000023</v>
      </c>
      <c r="F900" s="174"/>
      <c r="G900" s="174"/>
      <c r="H900" s="174"/>
      <c r="I900" s="174"/>
      <c r="J900" s="174"/>
      <c r="K900" s="66"/>
      <c r="L900" s="66"/>
      <c r="M900" s="45"/>
    </row>
    <row r="901" spans="1:13" ht="15" customHeight="1" x14ac:dyDescent="0.25">
      <c r="A901" s="175"/>
      <c r="B901" s="170"/>
      <c r="C901" s="210"/>
      <c r="D901" s="170"/>
      <c r="E901" s="176">
        <f t="shared" si="13"/>
        <v>662274.450000023</v>
      </c>
      <c r="F901" s="174"/>
      <c r="G901" s="174"/>
      <c r="H901" s="174"/>
      <c r="I901" s="174"/>
      <c r="J901" s="174"/>
      <c r="K901" s="66"/>
      <c r="L901" s="66"/>
      <c r="M901" s="45"/>
    </row>
    <row r="902" spans="1:13" ht="15" customHeight="1" x14ac:dyDescent="0.25">
      <c r="A902" s="175"/>
      <c r="B902" s="170"/>
      <c r="C902" s="210"/>
      <c r="D902" s="170"/>
      <c r="E902" s="176">
        <f t="shared" si="13"/>
        <v>662274.450000023</v>
      </c>
      <c r="F902" s="174"/>
      <c r="G902" s="174"/>
      <c r="H902" s="174"/>
      <c r="I902" s="174"/>
      <c r="J902" s="174"/>
      <c r="K902" s="66"/>
      <c r="L902" s="66"/>
      <c r="M902" s="45"/>
    </row>
    <row r="903" spans="1:13" ht="15" customHeight="1" x14ac:dyDescent="0.25">
      <c r="A903" s="175"/>
      <c r="B903" s="170"/>
      <c r="C903" s="210"/>
      <c r="D903" s="170"/>
      <c r="E903" s="176">
        <f t="shared" si="13"/>
        <v>662274.450000023</v>
      </c>
      <c r="F903" s="174"/>
      <c r="G903" s="174"/>
      <c r="H903" s="174"/>
      <c r="I903" s="174"/>
      <c r="J903" s="174"/>
      <c r="K903" s="66"/>
      <c r="L903" s="66"/>
      <c r="M903" s="45"/>
    </row>
    <row r="904" spans="1:13" ht="15" customHeight="1" x14ac:dyDescent="0.25">
      <c r="A904" s="175"/>
      <c r="B904" s="170"/>
      <c r="C904" s="210"/>
      <c r="D904" s="170"/>
      <c r="E904" s="176">
        <f t="shared" ref="E904:E967" si="14">E903-C904+D904</f>
        <v>662274.450000023</v>
      </c>
      <c r="F904" s="173"/>
      <c r="G904" s="199"/>
      <c r="H904" s="192"/>
      <c r="I904" s="197"/>
      <c r="J904" s="174"/>
      <c r="K904" s="66"/>
      <c r="L904" s="66"/>
      <c r="M904" s="45"/>
    </row>
    <row r="905" spans="1:13" ht="15" customHeight="1" x14ac:dyDescent="0.25">
      <c r="A905" s="175"/>
      <c r="B905" s="170"/>
      <c r="C905" s="210"/>
      <c r="D905" s="170"/>
      <c r="E905" s="176">
        <f t="shared" si="14"/>
        <v>662274.450000023</v>
      </c>
      <c r="F905" s="174"/>
      <c r="G905" s="174"/>
      <c r="H905" s="174"/>
      <c r="I905" s="174"/>
      <c r="J905" s="174"/>
      <c r="K905" s="66"/>
      <c r="L905" s="66"/>
      <c r="M905" s="45"/>
    </row>
    <row r="906" spans="1:13" ht="15" customHeight="1" x14ac:dyDescent="0.25">
      <c r="A906" s="175"/>
      <c r="B906" s="170"/>
      <c r="C906" s="210"/>
      <c r="D906" s="170"/>
      <c r="E906" s="176">
        <f t="shared" si="14"/>
        <v>662274.450000023</v>
      </c>
      <c r="F906" s="174"/>
      <c r="G906" s="174"/>
      <c r="H906" s="174"/>
      <c r="I906" s="174"/>
      <c r="J906" s="174"/>
      <c r="K906" s="66"/>
      <c r="L906" s="66"/>
      <c r="M906" s="45"/>
    </row>
    <row r="907" spans="1:13" ht="15" customHeight="1" x14ac:dyDescent="0.25">
      <c r="A907" s="175"/>
      <c r="B907" s="170"/>
      <c r="C907" s="210"/>
      <c r="D907" s="170"/>
      <c r="E907" s="176">
        <f t="shared" si="14"/>
        <v>662274.450000023</v>
      </c>
      <c r="F907" s="216"/>
      <c r="G907" s="181"/>
      <c r="H907" s="205"/>
      <c r="I907" s="181"/>
      <c r="J907" s="217"/>
      <c r="K907" s="66"/>
      <c r="L907" s="66"/>
      <c r="M907" s="45"/>
    </row>
    <row r="908" spans="1:13" ht="15" customHeight="1" x14ac:dyDescent="0.25">
      <c r="A908" s="175"/>
      <c r="B908" s="170"/>
      <c r="C908" s="210"/>
      <c r="D908" s="170"/>
      <c r="E908" s="176">
        <f t="shared" si="14"/>
        <v>662274.450000023</v>
      </c>
      <c r="F908" s="174"/>
      <c r="G908" s="174"/>
      <c r="H908" s="174"/>
      <c r="I908" s="174"/>
      <c r="J908" s="174"/>
      <c r="K908" s="66"/>
      <c r="L908" s="66"/>
      <c r="M908" s="45"/>
    </row>
    <row r="909" spans="1:13" ht="15" customHeight="1" x14ac:dyDescent="0.25">
      <c r="A909" s="175"/>
      <c r="B909" s="170"/>
      <c r="C909" s="210"/>
      <c r="D909" s="170"/>
      <c r="E909" s="176">
        <f t="shared" si="14"/>
        <v>662274.450000023</v>
      </c>
      <c r="F909" s="174"/>
      <c r="G909" s="174"/>
      <c r="H909" s="174"/>
      <c r="I909" s="174"/>
      <c r="J909" s="174"/>
      <c r="K909" s="66"/>
      <c r="L909" s="66"/>
      <c r="M909" s="45"/>
    </row>
    <row r="910" spans="1:13" ht="15" customHeight="1" x14ac:dyDescent="0.25">
      <c r="A910" s="175"/>
      <c r="B910" s="170"/>
      <c r="C910" s="210"/>
      <c r="D910" s="170"/>
      <c r="E910" s="176">
        <f t="shared" si="14"/>
        <v>662274.450000023</v>
      </c>
      <c r="F910" s="174"/>
      <c r="G910" s="174"/>
      <c r="H910" s="174"/>
      <c r="I910" s="174"/>
      <c r="J910" s="174"/>
      <c r="K910" s="66"/>
      <c r="L910" s="66"/>
      <c r="M910" s="45"/>
    </row>
    <row r="911" spans="1:13" ht="15" customHeight="1" x14ac:dyDescent="0.25">
      <c r="A911" s="175"/>
      <c r="B911" s="170"/>
      <c r="C911" s="210"/>
      <c r="D911" s="170"/>
      <c r="E911" s="176">
        <f t="shared" si="14"/>
        <v>662274.450000023</v>
      </c>
      <c r="F911" s="174"/>
      <c r="G911" s="174"/>
      <c r="H911" s="174"/>
      <c r="I911" s="174"/>
      <c r="J911" s="174"/>
      <c r="K911" s="66"/>
      <c r="L911" s="66"/>
      <c r="M911" s="45"/>
    </row>
    <row r="912" spans="1:13" ht="15" customHeight="1" x14ac:dyDescent="0.25">
      <c r="A912" s="175"/>
      <c r="B912" s="170"/>
      <c r="C912" s="210"/>
      <c r="D912" s="170"/>
      <c r="E912" s="176">
        <f t="shared" si="14"/>
        <v>662274.450000023</v>
      </c>
      <c r="F912" s="174"/>
      <c r="G912" s="174"/>
      <c r="H912" s="174"/>
      <c r="I912" s="174"/>
      <c r="J912" s="174"/>
      <c r="K912" s="66"/>
      <c r="L912" s="66"/>
      <c r="M912" s="45"/>
    </row>
    <row r="913" spans="1:13" ht="15" customHeight="1" x14ac:dyDescent="0.25">
      <c r="A913" s="175"/>
      <c r="B913" s="170"/>
      <c r="C913" s="210"/>
      <c r="D913" s="170"/>
      <c r="E913" s="176">
        <f t="shared" si="14"/>
        <v>662274.450000023</v>
      </c>
      <c r="F913" s="174"/>
      <c r="G913" s="174"/>
      <c r="H913" s="174"/>
      <c r="I913" s="174"/>
      <c r="J913" s="174"/>
      <c r="K913" s="66"/>
      <c r="L913" s="66"/>
      <c r="M913" s="45"/>
    </row>
    <row r="914" spans="1:13" ht="15" customHeight="1" x14ac:dyDescent="0.25">
      <c r="A914" s="175"/>
      <c r="B914" s="170"/>
      <c r="C914" s="210"/>
      <c r="D914" s="170"/>
      <c r="E914" s="176">
        <f t="shared" si="14"/>
        <v>662274.450000023</v>
      </c>
      <c r="F914" s="173"/>
      <c r="G914" s="199"/>
      <c r="H914" s="203"/>
      <c r="I914" s="197"/>
      <c r="J914" s="174"/>
      <c r="K914" s="66"/>
      <c r="L914" s="66"/>
      <c r="M914" s="45"/>
    </row>
    <row r="915" spans="1:13" ht="15" customHeight="1" x14ac:dyDescent="0.25">
      <c r="A915" s="175"/>
      <c r="B915" s="170"/>
      <c r="C915" s="210"/>
      <c r="D915" s="170"/>
      <c r="E915" s="176">
        <f t="shared" si="14"/>
        <v>662274.450000023</v>
      </c>
      <c r="F915" s="174"/>
      <c r="G915" s="174"/>
      <c r="H915" s="174"/>
      <c r="I915" s="174"/>
      <c r="J915" s="174"/>
      <c r="K915" s="66"/>
      <c r="L915" s="66"/>
      <c r="M915" s="45"/>
    </row>
    <row r="916" spans="1:13" ht="15" customHeight="1" x14ac:dyDescent="0.25">
      <c r="A916" s="175"/>
      <c r="B916" s="170"/>
      <c r="C916" s="210"/>
      <c r="D916" s="170"/>
      <c r="E916" s="176">
        <f t="shared" si="14"/>
        <v>662274.450000023</v>
      </c>
      <c r="F916" s="174"/>
      <c r="G916" s="174"/>
      <c r="H916" s="174"/>
      <c r="I916" s="174"/>
      <c r="J916" s="174"/>
      <c r="K916" s="66"/>
      <c r="L916" s="66"/>
      <c r="M916" s="45"/>
    </row>
    <row r="917" spans="1:13" ht="15" customHeight="1" x14ac:dyDescent="0.25">
      <c r="A917" s="175"/>
      <c r="B917" s="170"/>
      <c r="C917" s="210"/>
      <c r="D917" s="170"/>
      <c r="E917" s="176">
        <f t="shared" si="14"/>
        <v>662274.450000023</v>
      </c>
      <c r="F917" s="174"/>
      <c r="G917" s="174"/>
      <c r="H917" s="174"/>
      <c r="I917" s="174"/>
      <c r="J917" s="174"/>
      <c r="K917" s="66"/>
      <c r="L917" s="66"/>
      <c r="M917" s="45"/>
    </row>
    <row r="918" spans="1:13" ht="15" customHeight="1" x14ac:dyDescent="0.25">
      <c r="A918" s="175"/>
      <c r="B918" s="170"/>
      <c r="C918" s="210"/>
      <c r="D918" s="170"/>
      <c r="E918" s="176">
        <f t="shared" si="14"/>
        <v>662274.450000023</v>
      </c>
      <c r="F918" s="174"/>
      <c r="G918" s="174"/>
      <c r="H918" s="174"/>
      <c r="I918" s="174"/>
      <c r="J918" s="174"/>
      <c r="K918" s="66"/>
      <c r="L918" s="66"/>
      <c r="M918" s="45"/>
    </row>
    <row r="919" spans="1:13" ht="15" customHeight="1" x14ac:dyDescent="0.25">
      <c r="A919" s="175"/>
      <c r="B919" s="170"/>
      <c r="C919" s="210"/>
      <c r="D919" s="170"/>
      <c r="E919" s="176">
        <f t="shared" si="14"/>
        <v>662274.450000023</v>
      </c>
      <c r="F919" s="174"/>
      <c r="G919" s="174"/>
      <c r="H919" s="174"/>
      <c r="I919" s="174"/>
      <c r="J919" s="174"/>
      <c r="K919" s="66"/>
      <c r="L919" s="66"/>
      <c r="M919" s="45"/>
    </row>
    <row r="920" spans="1:13" ht="15" customHeight="1" x14ac:dyDescent="0.25">
      <c r="A920" s="175"/>
      <c r="B920" s="170"/>
      <c r="C920" s="210"/>
      <c r="D920" s="170"/>
      <c r="E920" s="176">
        <f t="shared" si="14"/>
        <v>662274.450000023</v>
      </c>
      <c r="F920" s="174"/>
      <c r="G920" s="174"/>
      <c r="H920" s="174"/>
      <c r="I920" s="174"/>
      <c r="J920" s="174"/>
      <c r="K920" s="66"/>
      <c r="L920" s="66"/>
      <c r="M920" s="45"/>
    </row>
    <row r="921" spans="1:13" ht="15" customHeight="1" x14ac:dyDescent="0.25">
      <c r="A921" s="175"/>
      <c r="B921" s="170"/>
      <c r="C921" s="210"/>
      <c r="D921" s="170"/>
      <c r="E921" s="176">
        <f t="shared" si="14"/>
        <v>662274.450000023</v>
      </c>
      <c r="F921" s="174"/>
      <c r="G921" s="174"/>
      <c r="H921" s="174"/>
      <c r="I921" s="174"/>
      <c r="J921" s="174"/>
      <c r="K921" s="66"/>
      <c r="L921" s="66"/>
      <c r="M921" s="45"/>
    </row>
    <row r="922" spans="1:13" ht="15" customHeight="1" x14ac:dyDescent="0.25">
      <c r="A922" s="175"/>
      <c r="B922" s="170"/>
      <c r="C922" s="210"/>
      <c r="D922" s="170"/>
      <c r="E922" s="176">
        <f t="shared" si="14"/>
        <v>662274.450000023</v>
      </c>
      <c r="F922" s="174"/>
      <c r="G922" s="174"/>
      <c r="H922" s="174"/>
      <c r="I922" s="174"/>
      <c r="J922" s="174"/>
      <c r="K922" s="66"/>
      <c r="L922" s="66"/>
      <c r="M922" s="45"/>
    </row>
    <row r="923" spans="1:13" ht="15" customHeight="1" x14ac:dyDescent="0.25">
      <c r="A923" s="175"/>
      <c r="B923" s="170"/>
      <c r="C923" s="210"/>
      <c r="D923" s="170"/>
      <c r="E923" s="176">
        <f t="shared" si="14"/>
        <v>662274.450000023</v>
      </c>
      <c r="F923" s="174"/>
      <c r="G923" s="174"/>
      <c r="H923" s="174"/>
      <c r="I923" s="174"/>
      <c r="J923" s="174"/>
      <c r="K923" s="66"/>
      <c r="L923" s="66"/>
      <c r="M923" s="45"/>
    </row>
    <row r="924" spans="1:13" ht="15" customHeight="1" x14ac:dyDescent="0.25">
      <c r="A924" s="175"/>
      <c r="B924" s="170"/>
      <c r="C924" s="210"/>
      <c r="D924" s="170"/>
      <c r="E924" s="176">
        <f t="shared" si="14"/>
        <v>662274.450000023</v>
      </c>
      <c r="F924" s="174"/>
      <c r="G924" s="174"/>
      <c r="H924" s="174"/>
      <c r="I924" s="174"/>
      <c r="J924" s="174"/>
      <c r="K924" s="66"/>
      <c r="L924" s="66"/>
      <c r="M924" s="45"/>
    </row>
    <row r="925" spans="1:13" ht="15" customHeight="1" x14ac:dyDescent="0.25">
      <c r="A925" s="175"/>
      <c r="B925" s="170"/>
      <c r="C925" s="210"/>
      <c r="D925" s="170"/>
      <c r="E925" s="176">
        <f t="shared" si="14"/>
        <v>662274.450000023</v>
      </c>
      <c r="F925" s="174"/>
      <c r="G925" s="174"/>
      <c r="H925" s="174"/>
      <c r="I925" s="174"/>
      <c r="J925" s="174"/>
      <c r="K925" s="66"/>
      <c r="L925" s="66"/>
      <c r="M925" s="45"/>
    </row>
    <row r="926" spans="1:13" ht="15" customHeight="1" x14ac:dyDescent="0.25">
      <c r="A926" s="175"/>
      <c r="B926" s="170"/>
      <c r="C926" s="210"/>
      <c r="D926" s="170"/>
      <c r="E926" s="176">
        <f t="shared" si="14"/>
        <v>662274.450000023</v>
      </c>
      <c r="F926" s="174"/>
      <c r="G926" s="174"/>
      <c r="H926" s="174"/>
      <c r="I926" s="174"/>
      <c r="J926" s="174"/>
      <c r="K926" s="66"/>
      <c r="L926" s="66"/>
      <c r="M926" s="45"/>
    </row>
    <row r="927" spans="1:13" ht="15" customHeight="1" x14ac:dyDescent="0.25">
      <c r="A927" s="175"/>
      <c r="B927" s="170"/>
      <c r="C927" s="210"/>
      <c r="D927" s="170"/>
      <c r="E927" s="176">
        <f t="shared" si="14"/>
        <v>662274.450000023</v>
      </c>
      <c r="F927" s="211"/>
      <c r="G927" s="183"/>
      <c r="H927" s="212"/>
      <c r="I927" s="183"/>
      <c r="J927" s="213"/>
      <c r="K927" s="66"/>
      <c r="L927" s="66"/>
      <c r="M927" s="45"/>
    </row>
    <row r="928" spans="1:13" ht="15" customHeight="1" x14ac:dyDescent="0.25">
      <c r="A928" s="175"/>
      <c r="B928" s="170"/>
      <c r="C928" s="210"/>
      <c r="D928" s="170"/>
      <c r="E928" s="176">
        <f t="shared" si="14"/>
        <v>662274.450000023</v>
      </c>
      <c r="F928" s="174"/>
      <c r="G928" s="174"/>
      <c r="H928" s="174"/>
      <c r="I928" s="174"/>
      <c r="J928" s="174"/>
      <c r="K928" s="66"/>
      <c r="L928" s="66"/>
      <c r="M928" s="45"/>
    </row>
    <row r="929" spans="1:13" ht="15" customHeight="1" x14ac:dyDescent="0.25">
      <c r="A929" s="175"/>
      <c r="B929" s="170"/>
      <c r="C929" s="210"/>
      <c r="D929" s="170"/>
      <c r="E929" s="176">
        <f t="shared" si="14"/>
        <v>662274.450000023</v>
      </c>
      <c r="F929" s="204"/>
      <c r="G929" s="181"/>
      <c r="H929" s="205"/>
      <c r="I929" s="181"/>
      <c r="J929" s="206"/>
      <c r="K929" s="66"/>
      <c r="L929" s="66"/>
      <c r="M929" s="45"/>
    </row>
    <row r="930" spans="1:13" s="179" customFormat="1" ht="15" customHeight="1" x14ac:dyDescent="0.25">
      <c r="A930" s="175"/>
      <c r="B930" s="170"/>
      <c r="C930" s="210"/>
      <c r="D930" s="170"/>
      <c r="E930" s="176">
        <f t="shared" si="14"/>
        <v>662274.450000023</v>
      </c>
      <c r="F930" s="174"/>
      <c r="G930" s="174"/>
      <c r="H930" s="174"/>
      <c r="I930" s="174"/>
      <c r="J930" s="174"/>
      <c r="K930" s="178"/>
      <c r="L930" s="178"/>
      <c r="M930" s="174"/>
    </row>
    <row r="931" spans="1:13" ht="15" customHeight="1" x14ac:dyDescent="0.25">
      <c r="A931" s="175"/>
      <c r="B931" s="170"/>
      <c r="C931" s="210"/>
      <c r="D931" s="170"/>
      <c r="E931" s="176">
        <f t="shared" si="14"/>
        <v>662274.450000023</v>
      </c>
      <c r="F931" s="174"/>
      <c r="G931" s="174"/>
      <c r="H931" s="174"/>
      <c r="I931" s="174"/>
      <c r="J931" s="174"/>
      <c r="K931" s="66"/>
      <c r="L931" s="66"/>
      <c r="M931" s="45"/>
    </row>
    <row r="932" spans="1:13" ht="15" customHeight="1" x14ac:dyDescent="0.25">
      <c r="A932" s="175"/>
      <c r="B932" s="170"/>
      <c r="C932" s="210"/>
      <c r="D932" s="170"/>
      <c r="E932" s="176">
        <f t="shared" si="14"/>
        <v>662274.450000023</v>
      </c>
      <c r="F932" s="174"/>
      <c r="G932" s="174"/>
      <c r="H932" s="174"/>
      <c r="I932" s="174"/>
      <c r="J932" s="174"/>
      <c r="K932" s="66"/>
      <c r="L932" s="66"/>
      <c r="M932" s="45"/>
    </row>
    <row r="933" spans="1:13" ht="15" customHeight="1" x14ac:dyDescent="0.25">
      <c r="A933" s="175"/>
      <c r="B933" s="170"/>
      <c r="C933" s="170"/>
      <c r="D933" s="210"/>
      <c r="E933" s="176">
        <f t="shared" si="14"/>
        <v>662274.450000023</v>
      </c>
      <c r="F933" s="174"/>
      <c r="G933" s="174"/>
      <c r="H933" s="174"/>
      <c r="I933" s="174"/>
      <c r="J933" s="174"/>
      <c r="K933" s="66"/>
      <c r="L933" s="66"/>
      <c r="M933" s="45"/>
    </row>
    <row r="934" spans="1:13" ht="15" customHeight="1" x14ac:dyDescent="0.25">
      <c r="A934" s="175"/>
      <c r="B934" s="170"/>
      <c r="C934" s="210"/>
      <c r="D934" s="170"/>
      <c r="E934" s="176">
        <f t="shared" si="14"/>
        <v>662274.450000023</v>
      </c>
      <c r="F934" s="174"/>
      <c r="G934" s="174"/>
      <c r="H934" s="174"/>
      <c r="I934" s="174"/>
      <c r="J934" s="174"/>
      <c r="K934" s="66"/>
      <c r="L934" s="66"/>
      <c r="M934" s="45"/>
    </row>
    <row r="935" spans="1:13" ht="15" customHeight="1" x14ac:dyDescent="0.25">
      <c r="A935" s="175"/>
      <c r="B935" s="170"/>
      <c r="C935" s="170"/>
      <c r="D935" s="210"/>
      <c r="E935" s="176">
        <f t="shared" si="14"/>
        <v>662274.450000023</v>
      </c>
      <c r="F935" s="174"/>
      <c r="G935" s="174"/>
      <c r="H935" s="174"/>
      <c r="I935" s="174"/>
      <c r="J935" s="174"/>
      <c r="K935" s="66"/>
      <c r="L935" s="66"/>
      <c r="M935" s="45"/>
    </row>
    <row r="936" spans="1:13" ht="15" customHeight="1" x14ac:dyDescent="0.25">
      <c r="A936" s="175"/>
      <c r="B936" s="170"/>
      <c r="C936" s="170"/>
      <c r="D936" s="210"/>
      <c r="E936" s="176">
        <f t="shared" si="14"/>
        <v>662274.450000023</v>
      </c>
      <c r="F936" s="173"/>
      <c r="G936" s="174"/>
      <c r="H936" s="177"/>
      <c r="I936" s="197"/>
      <c r="J936" s="217"/>
      <c r="K936" s="66"/>
      <c r="L936" s="66"/>
      <c r="M936" s="45"/>
    </row>
    <row r="937" spans="1:13" ht="15" customHeight="1" x14ac:dyDescent="0.25">
      <c r="A937" s="175"/>
      <c r="B937" s="170"/>
      <c r="C937" s="169"/>
      <c r="D937" s="170"/>
      <c r="E937" s="176">
        <f t="shared" si="14"/>
        <v>662274.450000023</v>
      </c>
      <c r="F937" s="174"/>
      <c r="G937" s="174"/>
      <c r="H937" s="174"/>
      <c r="I937" s="174"/>
      <c r="J937" s="174"/>
      <c r="K937" s="66"/>
      <c r="L937" s="66"/>
      <c r="M937" s="45"/>
    </row>
    <row r="938" spans="1:13" ht="15" customHeight="1" x14ac:dyDescent="0.25">
      <c r="A938" s="175"/>
      <c r="B938" s="170"/>
      <c r="C938" s="210"/>
      <c r="D938" s="170"/>
      <c r="E938" s="176">
        <f t="shared" si="14"/>
        <v>662274.450000023</v>
      </c>
      <c r="F938" s="174"/>
      <c r="G938" s="174"/>
      <c r="H938" s="174"/>
      <c r="I938" s="174"/>
      <c r="J938" s="174"/>
      <c r="K938" s="66"/>
      <c r="L938" s="66"/>
      <c r="M938" s="45"/>
    </row>
    <row r="939" spans="1:13" ht="15" customHeight="1" x14ac:dyDescent="0.25">
      <c r="A939" s="175"/>
      <c r="B939" s="170"/>
      <c r="C939" s="210"/>
      <c r="D939" s="170"/>
      <c r="E939" s="176">
        <f t="shared" si="14"/>
        <v>662274.450000023</v>
      </c>
      <c r="F939" s="174"/>
      <c r="G939" s="174"/>
      <c r="H939" s="174"/>
      <c r="I939" s="174"/>
      <c r="J939" s="174"/>
      <c r="K939" s="66"/>
      <c r="L939" s="66"/>
      <c r="M939" s="45"/>
    </row>
    <row r="940" spans="1:13" ht="15" customHeight="1" x14ac:dyDescent="0.25">
      <c r="A940" s="175"/>
      <c r="B940" s="170"/>
      <c r="C940" s="170"/>
      <c r="D940" s="210"/>
      <c r="E940" s="176">
        <f t="shared" si="14"/>
        <v>662274.450000023</v>
      </c>
      <c r="F940" s="173"/>
      <c r="G940" s="174"/>
      <c r="H940" s="177"/>
      <c r="I940" s="197"/>
      <c r="J940" s="174"/>
      <c r="K940" s="66"/>
      <c r="L940" s="66"/>
      <c r="M940" s="45"/>
    </row>
    <row r="941" spans="1:13" ht="15" customHeight="1" x14ac:dyDescent="0.25">
      <c r="A941" s="175"/>
      <c r="B941" s="170"/>
      <c r="C941" s="210"/>
      <c r="D941" s="170"/>
      <c r="E941" s="176">
        <f t="shared" si="14"/>
        <v>662274.450000023</v>
      </c>
      <c r="F941" s="174"/>
      <c r="G941" s="174"/>
      <c r="H941" s="174"/>
      <c r="I941" s="174"/>
      <c r="J941" s="174"/>
      <c r="K941" s="66"/>
      <c r="L941" s="66"/>
      <c r="M941" s="45"/>
    </row>
    <row r="942" spans="1:13" ht="15" customHeight="1" x14ac:dyDescent="0.25">
      <c r="A942" s="175"/>
      <c r="B942" s="170"/>
      <c r="C942" s="210"/>
      <c r="D942" s="170"/>
      <c r="E942" s="176">
        <f t="shared" si="14"/>
        <v>662274.450000023</v>
      </c>
      <c r="F942" s="174"/>
      <c r="G942" s="174"/>
      <c r="H942" s="174"/>
      <c r="I942" s="174"/>
      <c r="J942" s="174"/>
      <c r="K942" s="66"/>
      <c r="L942" s="66"/>
      <c r="M942" s="45"/>
    </row>
    <row r="943" spans="1:13" ht="15" customHeight="1" x14ac:dyDescent="0.25">
      <c r="A943" s="175"/>
      <c r="B943" s="170"/>
      <c r="C943" s="210"/>
      <c r="D943" s="170"/>
      <c r="E943" s="176">
        <f t="shared" si="14"/>
        <v>662274.450000023</v>
      </c>
      <c r="F943" s="174"/>
      <c r="G943" s="174"/>
      <c r="H943" s="174"/>
      <c r="I943" s="174"/>
      <c r="J943" s="174"/>
      <c r="K943" s="66"/>
      <c r="L943" s="66"/>
      <c r="M943" s="45"/>
    </row>
    <row r="944" spans="1:13" ht="15" customHeight="1" x14ac:dyDescent="0.25">
      <c r="A944" s="175"/>
      <c r="B944" s="170"/>
      <c r="C944" s="210"/>
      <c r="D944" s="170"/>
      <c r="E944" s="176">
        <f t="shared" si="14"/>
        <v>662274.450000023</v>
      </c>
      <c r="F944" s="174"/>
      <c r="G944" s="174"/>
      <c r="H944" s="174"/>
      <c r="I944" s="174"/>
      <c r="J944" s="174"/>
      <c r="K944" s="66"/>
      <c r="L944" s="66"/>
      <c r="M944" s="45"/>
    </row>
    <row r="945" spans="1:13" ht="15" customHeight="1" x14ac:dyDescent="0.25">
      <c r="A945" s="175"/>
      <c r="B945" s="170"/>
      <c r="C945" s="210"/>
      <c r="D945" s="170"/>
      <c r="E945" s="176">
        <f t="shared" si="14"/>
        <v>662274.450000023</v>
      </c>
      <c r="F945" s="174"/>
      <c r="G945" s="174"/>
      <c r="H945" s="174"/>
      <c r="I945" s="174"/>
      <c r="J945" s="174"/>
      <c r="K945" s="66"/>
      <c r="L945" s="66"/>
      <c r="M945" s="45"/>
    </row>
    <row r="946" spans="1:13" ht="15" customHeight="1" x14ac:dyDescent="0.25">
      <c r="A946" s="175"/>
      <c r="B946" s="170"/>
      <c r="C946" s="210"/>
      <c r="D946" s="170"/>
      <c r="E946" s="176">
        <f t="shared" si="14"/>
        <v>662274.450000023</v>
      </c>
      <c r="F946" s="174"/>
      <c r="G946" s="174"/>
      <c r="H946" s="174"/>
      <c r="I946" s="174"/>
      <c r="J946" s="174"/>
      <c r="K946" s="66"/>
      <c r="L946" s="66"/>
      <c r="M946" s="45"/>
    </row>
    <row r="947" spans="1:13" ht="15" customHeight="1" x14ac:dyDescent="0.25">
      <c r="A947" s="175"/>
      <c r="B947" s="170"/>
      <c r="C947" s="210"/>
      <c r="D947" s="170"/>
      <c r="E947" s="176">
        <f t="shared" si="14"/>
        <v>662274.450000023</v>
      </c>
      <c r="F947" s="174"/>
      <c r="G947" s="174"/>
      <c r="H947" s="174"/>
      <c r="I947" s="174"/>
      <c r="J947" s="174"/>
      <c r="K947" s="66"/>
      <c r="L947" s="66"/>
      <c r="M947" s="45"/>
    </row>
    <row r="948" spans="1:13" ht="15" customHeight="1" x14ac:dyDescent="0.25">
      <c r="A948" s="175"/>
      <c r="B948" s="170"/>
      <c r="C948" s="210"/>
      <c r="D948" s="170"/>
      <c r="E948" s="176">
        <f t="shared" si="14"/>
        <v>662274.450000023</v>
      </c>
      <c r="F948" s="174"/>
      <c r="G948" s="174"/>
      <c r="H948" s="174"/>
      <c r="I948" s="174"/>
      <c r="J948" s="174"/>
      <c r="K948" s="66"/>
      <c r="L948" s="66"/>
      <c r="M948" s="45"/>
    </row>
    <row r="949" spans="1:13" ht="15" customHeight="1" x14ac:dyDescent="0.25">
      <c r="A949" s="175"/>
      <c r="B949" s="170"/>
      <c r="C949" s="210"/>
      <c r="D949" s="170"/>
      <c r="E949" s="176">
        <f t="shared" si="14"/>
        <v>662274.450000023</v>
      </c>
      <c r="F949" s="174"/>
      <c r="G949" s="174"/>
      <c r="H949" s="174"/>
      <c r="I949" s="174"/>
      <c r="J949" s="174"/>
      <c r="K949" s="66"/>
      <c r="L949" s="66"/>
      <c r="M949" s="45"/>
    </row>
    <row r="950" spans="1:13" ht="15" customHeight="1" x14ac:dyDescent="0.25">
      <c r="A950" s="175"/>
      <c r="B950" s="170"/>
      <c r="C950" s="210"/>
      <c r="D950" s="170"/>
      <c r="E950" s="176">
        <f t="shared" si="14"/>
        <v>662274.450000023</v>
      </c>
      <c r="F950" s="174"/>
      <c r="G950" s="174"/>
      <c r="H950" s="174"/>
      <c r="I950" s="174"/>
      <c r="J950" s="174"/>
      <c r="K950" s="66"/>
      <c r="L950" s="66"/>
      <c r="M950" s="45"/>
    </row>
    <row r="951" spans="1:13" ht="15" customHeight="1" x14ac:dyDescent="0.25">
      <c r="A951" s="175"/>
      <c r="B951" s="170"/>
      <c r="C951" s="210"/>
      <c r="D951" s="170"/>
      <c r="E951" s="176">
        <f t="shared" si="14"/>
        <v>662274.450000023</v>
      </c>
      <c r="F951" s="174"/>
      <c r="G951" s="174"/>
      <c r="H951" s="174"/>
      <c r="I951" s="174"/>
      <c r="J951" s="174"/>
      <c r="K951" s="66"/>
      <c r="L951" s="66"/>
      <c r="M951" s="45"/>
    </row>
    <row r="952" spans="1:13" ht="15" customHeight="1" x14ac:dyDescent="0.25">
      <c r="A952" s="175"/>
      <c r="B952" s="170"/>
      <c r="C952" s="210"/>
      <c r="D952" s="170"/>
      <c r="E952" s="176">
        <f t="shared" si="14"/>
        <v>662274.450000023</v>
      </c>
      <c r="F952" s="174"/>
      <c r="G952" s="174"/>
      <c r="H952" s="174"/>
      <c r="I952" s="174"/>
      <c r="J952" s="174"/>
      <c r="K952" s="66"/>
      <c r="L952" s="66"/>
      <c r="M952" s="45"/>
    </row>
    <row r="953" spans="1:13" ht="15" customHeight="1" x14ac:dyDescent="0.25">
      <c r="A953" s="175"/>
      <c r="B953" s="170"/>
      <c r="C953" s="210"/>
      <c r="D953" s="170"/>
      <c r="E953" s="176">
        <f t="shared" si="14"/>
        <v>662274.450000023</v>
      </c>
      <c r="F953" s="174"/>
      <c r="G953" s="174"/>
      <c r="H953" s="174"/>
      <c r="I953" s="174"/>
      <c r="J953" s="174"/>
      <c r="K953" s="66"/>
      <c r="L953" s="66"/>
      <c r="M953" s="45"/>
    </row>
    <row r="954" spans="1:13" ht="15" customHeight="1" x14ac:dyDescent="0.25">
      <c r="A954" s="175"/>
      <c r="B954" s="170"/>
      <c r="C954" s="210"/>
      <c r="D954" s="170"/>
      <c r="E954" s="176">
        <f t="shared" si="14"/>
        <v>662274.450000023</v>
      </c>
      <c r="F954" s="204"/>
      <c r="G954" s="181"/>
      <c r="H954" s="205"/>
      <c r="I954" s="181"/>
      <c r="J954" s="217"/>
      <c r="K954" s="66"/>
      <c r="L954" s="66"/>
      <c r="M954" s="45"/>
    </row>
    <row r="955" spans="1:13" ht="15" customHeight="1" x14ac:dyDescent="0.25">
      <c r="A955" s="175"/>
      <c r="B955" s="170"/>
      <c r="C955" s="210"/>
      <c r="D955" s="170"/>
      <c r="E955" s="176">
        <f t="shared" si="14"/>
        <v>662274.450000023</v>
      </c>
      <c r="F955" s="174"/>
      <c r="G955" s="174"/>
      <c r="H955" s="174"/>
      <c r="I955" s="174"/>
      <c r="J955" s="174"/>
      <c r="K955" s="66"/>
      <c r="L955" s="66"/>
      <c r="M955" s="45"/>
    </row>
    <row r="956" spans="1:13" ht="15" customHeight="1" x14ac:dyDescent="0.25">
      <c r="A956" s="175"/>
      <c r="B956" s="170"/>
      <c r="C956" s="210"/>
      <c r="D956" s="170"/>
      <c r="E956" s="176">
        <f t="shared" si="14"/>
        <v>662274.450000023</v>
      </c>
      <c r="F956" s="174"/>
      <c r="G956" s="174"/>
      <c r="H956" s="174"/>
      <c r="I956" s="174"/>
      <c r="J956" s="174"/>
      <c r="K956" s="66"/>
      <c r="L956" s="66"/>
      <c r="M956" s="45"/>
    </row>
    <row r="957" spans="1:13" ht="15" customHeight="1" x14ac:dyDescent="0.25">
      <c r="A957" s="175"/>
      <c r="B957" s="170"/>
      <c r="C957" s="210"/>
      <c r="D957" s="170"/>
      <c r="E957" s="176">
        <f t="shared" si="14"/>
        <v>662274.450000023</v>
      </c>
      <c r="F957" s="174"/>
      <c r="G957" s="174"/>
      <c r="H957" s="174"/>
      <c r="I957" s="174"/>
      <c r="J957" s="174"/>
      <c r="K957" s="66"/>
      <c r="L957" s="66"/>
      <c r="M957" s="45"/>
    </row>
    <row r="958" spans="1:13" ht="15" customHeight="1" x14ac:dyDescent="0.25">
      <c r="A958" s="175"/>
      <c r="B958" s="170"/>
      <c r="C958" s="210"/>
      <c r="D958" s="170"/>
      <c r="E958" s="176">
        <f t="shared" si="14"/>
        <v>662274.450000023</v>
      </c>
      <c r="F958" s="174"/>
      <c r="G958" s="174"/>
      <c r="H958" s="174"/>
      <c r="I958" s="174"/>
      <c r="J958" s="174"/>
      <c r="K958" s="66"/>
      <c r="L958" s="66"/>
      <c r="M958" s="45"/>
    </row>
    <row r="959" spans="1:13" ht="15" customHeight="1" x14ac:dyDescent="0.25">
      <c r="A959" s="175"/>
      <c r="B959" s="170"/>
      <c r="C959" s="210"/>
      <c r="D959" s="170"/>
      <c r="E959" s="176">
        <f t="shared" si="14"/>
        <v>662274.450000023</v>
      </c>
      <c r="F959" s="174"/>
      <c r="G959" s="174"/>
      <c r="H959" s="174"/>
      <c r="I959" s="174"/>
      <c r="J959" s="174"/>
      <c r="K959" s="66"/>
      <c r="L959" s="66"/>
      <c r="M959" s="45"/>
    </row>
    <row r="960" spans="1:13" ht="15" customHeight="1" x14ac:dyDescent="0.25">
      <c r="A960" s="175"/>
      <c r="B960" s="170"/>
      <c r="C960" s="210"/>
      <c r="D960" s="170"/>
      <c r="E960" s="176">
        <f t="shared" si="14"/>
        <v>662274.450000023</v>
      </c>
      <c r="F960" s="174"/>
      <c r="G960" s="174"/>
      <c r="H960" s="174"/>
      <c r="I960" s="174"/>
      <c r="J960" s="174"/>
      <c r="K960" s="66"/>
      <c r="L960" s="66"/>
      <c r="M960" s="45"/>
    </row>
    <row r="961" spans="1:13" ht="15" customHeight="1" x14ac:dyDescent="0.25">
      <c r="A961" s="175"/>
      <c r="B961" s="170"/>
      <c r="C961" s="210"/>
      <c r="D961" s="170"/>
      <c r="E961" s="176">
        <f t="shared" si="14"/>
        <v>662274.450000023</v>
      </c>
      <c r="F961" s="174"/>
      <c r="G961" s="174"/>
      <c r="H961" s="174"/>
      <c r="I961" s="174"/>
      <c r="J961" s="174"/>
      <c r="K961" s="66"/>
      <c r="L961" s="66"/>
      <c r="M961" s="45"/>
    </row>
    <row r="962" spans="1:13" ht="15" customHeight="1" x14ac:dyDescent="0.25">
      <c r="A962" s="175"/>
      <c r="B962" s="170"/>
      <c r="C962" s="210"/>
      <c r="D962" s="170"/>
      <c r="E962" s="176">
        <f t="shared" si="14"/>
        <v>662274.450000023</v>
      </c>
      <c r="F962" s="174"/>
      <c r="G962" s="174"/>
      <c r="H962" s="174"/>
      <c r="I962" s="174"/>
      <c r="J962" s="174"/>
      <c r="K962" s="66"/>
      <c r="L962" s="66"/>
      <c r="M962" s="45"/>
    </row>
    <row r="963" spans="1:13" ht="15" customHeight="1" x14ac:dyDescent="0.25">
      <c r="A963" s="175"/>
      <c r="B963" s="170"/>
      <c r="C963" s="210"/>
      <c r="D963" s="170"/>
      <c r="E963" s="176">
        <f t="shared" si="14"/>
        <v>662274.450000023</v>
      </c>
      <c r="F963" s="174"/>
      <c r="G963" s="174"/>
      <c r="H963" s="174"/>
      <c r="I963" s="174"/>
      <c r="J963" s="174"/>
      <c r="K963" s="66"/>
      <c r="L963" s="66"/>
      <c r="M963" s="45"/>
    </row>
    <row r="964" spans="1:13" ht="15" customHeight="1" x14ac:dyDescent="0.25">
      <c r="A964" s="175"/>
      <c r="B964" s="170"/>
      <c r="C964" s="210"/>
      <c r="D964" s="170"/>
      <c r="E964" s="176">
        <f t="shared" si="14"/>
        <v>662274.450000023</v>
      </c>
      <c r="F964" s="174"/>
      <c r="G964" s="174"/>
      <c r="H964" s="174"/>
      <c r="I964" s="174"/>
      <c r="J964" s="174"/>
      <c r="K964" s="66"/>
      <c r="L964" s="66"/>
      <c r="M964" s="45"/>
    </row>
    <row r="965" spans="1:13" ht="15" customHeight="1" x14ac:dyDescent="0.25">
      <c r="A965" s="175"/>
      <c r="B965" s="170"/>
      <c r="C965" s="210"/>
      <c r="D965" s="170"/>
      <c r="E965" s="176">
        <f t="shared" si="14"/>
        <v>662274.450000023</v>
      </c>
      <c r="F965" s="174"/>
      <c r="G965" s="174"/>
      <c r="H965" s="174"/>
      <c r="I965" s="174"/>
      <c r="J965" s="174"/>
      <c r="K965" s="66"/>
      <c r="L965" s="66"/>
      <c r="M965" s="45"/>
    </row>
    <row r="966" spans="1:13" ht="15" customHeight="1" x14ac:dyDescent="0.25">
      <c r="A966" s="175"/>
      <c r="B966" s="170"/>
      <c r="C966" s="210"/>
      <c r="D966" s="170"/>
      <c r="E966" s="176">
        <f t="shared" si="14"/>
        <v>662274.450000023</v>
      </c>
      <c r="F966" s="174"/>
      <c r="G966" s="174"/>
      <c r="H966" s="174"/>
      <c r="I966" s="174"/>
      <c r="J966" s="174"/>
      <c r="K966" s="66"/>
      <c r="L966" s="66"/>
      <c r="M966" s="45"/>
    </row>
    <row r="967" spans="1:13" ht="15" customHeight="1" x14ac:dyDescent="0.25">
      <c r="A967" s="175"/>
      <c r="B967" s="170"/>
      <c r="C967" s="210"/>
      <c r="D967" s="170"/>
      <c r="E967" s="176">
        <f t="shared" si="14"/>
        <v>662274.450000023</v>
      </c>
      <c r="F967" s="174"/>
      <c r="G967" s="174"/>
      <c r="H967" s="174"/>
      <c r="I967" s="174"/>
      <c r="J967" s="174"/>
      <c r="K967" s="66"/>
      <c r="L967" s="66"/>
      <c r="M967" s="45"/>
    </row>
    <row r="968" spans="1:13" ht="15" customHeight="1" x14ac:dyDescent="0.25">
      <c r="A968" s="175"/>
      <c r="B968" s="170"/>
      <c r="C968" s="210"/>
      <c r="D968" s="170"/>
      <c r="E968" s="176">
        <f t="shared" ref="E968:E1031" si="15">E967-C968+D968</f>
        <v>662274.450000023</v>
      </c>
      <c r="F968" s="174"/>
      <c r="G968" s="174"/>
      <c r="H968" s="174"/>
      <c r="I968" s="174"/>
      <c r="J968" s="174"/>
      <c r="K968" s="66"/>
      <c r="L968" s="66"/>
      <c r="M968" s="45"/>
    </row>
    <row r="969" spans="1:13" ht="15" customHeight="1" x14ac:dyDescent="0.25">
      <c r="A969" s="175"/>
      <c r="B969" s="170"/>
      <c r="C969" s="210"/>
      <c r="D969" s="170"/>
      <c r="E969" s="176">
        <f t="shared" si="15"/>
        <v>662274.450000023</v>
      </c>
      <c r="F969" s="174"/>
      <c r="G969" s="174"/>
      <c r="H969" s="174"/>
      <c r="I969" s="174"/>
      <c r="J969" s="174"/>
      <c r="K969" s="66"/>
      <c r="L969" s="66"/>
      <c r="M969" s="45"/>
    </row>
    <row r="970" spans="1:13" ht="15" customHeight="1" x14ac:dyDescent="0.25">
      <c r="A970" s="175"/>
      <c r="B970" s="170"/>
      <c r="C970" s="210"/>
      <c r="D970" s="170"/>
      <c r="E970" s="176">
        <f t="shared" si="15"/>
        <v>662274.450000023</v>
      </c>
      <c r="F970" s="174"/>
      <c r="G970" s="174"/>
      <c r="H970" s="174"/>
      <c r="I970" s="174"/>
      <c r="J970" s="174"/>
      <c r="K970" s="66"/>
      <c r="L970" s="66"/>
      <c r="M970" s="45"/>
    </row>
    <row r="971" spans="1:13" ht="15" customHeight="1" x14ac:dyDescent="0.25">
      <c r="A971" s="175"/>
      <c r="B971" s="170"/>
      <c r="C971" s="210"/>
      <c r="D971" s="170"/>
      <c r="E971" s="176">
        <f t="shared" si="15"/>
        <v>662274.450000023</v>
      </c>
      <c r="F971" s="174"/>
      <c r="G971" s="174"/>
      <c r="H971" s="174"/>
      <c r="I971" s="174"/>
      <c r="J971" s="174"/>
      <c r="K971" s="66"/>
      <c r="L971" s="66"/>
      <c r="M971" s="45"/>
    </row>
    <row r="972" spans="1:13" ht="15" customHeight="1" x14ac:dyDescent="0.25">
      <c r="A972" s="175"/>
      <c r="B972" s="170"/>
      <c r="C972" s="210"/>
      <c r="D972" s="170"/>
      <c r="E972" s="176">
        <f t="shared" si="15"/>
        <v>662274.450000023</v>
      </c>
      <c r="F972" s="204"/>
      <c r="G972" s="181"/>
      <c r="H972" s="205"/>
      <c r="I972" s="181"/>
      <c r="J972" s="217"/>
      <c r="K972" s="66"/>
      <c r="L972" s="66"/>
      <c r="M972" s="45"/>
    </row>
    <row r="973" spans="1:13" ht="15" customHeight="1" x14ac:dyDescent="0.25">
      <c r="A973" s="175"/>
      <c r="B973" s="170"/>
      <c r="C973" s="210"/>
      <c r="D973" s="170"/>
      <c r="E973" s="176">
        <f t="shared" si="15"/>
        <v>662274.450000023</v>
      </c>
      <c r="F973" s="204"/>
      <c r="G973" s="181"/>
      <c r="H973" s="205"/>
      <c r="I973" s="181"/>
      <c r="J973" s="206"/>
      <c r="K973" s="66"/>
      <c r="L973" s="66"/>
      <c r="M973" s="45"/>
    </row>
    <row r="974" spans="1:13" ht="15" customHeight="1" x14ac:dyDescent="0.25">
      <c r="A974" s="175"/>
      <c r="B974" s="170"/>
      <c r="C974" s="170"/>
      <c r="D974" s="210"/>
      <c r="E974" s="176">
        <f t="shared" si="15"/>
        <v>662274.450000023</v>
      </c>
      <c r="F974" s="173"/>
      <c r="G974" s="174"/>
      <c r="H974" s="177"/>
      <c r="I974" s="197"/>
      <c r="J974" s="174"/>
      <c r="K974" s="66"/>
      <c r="L974" s="66"/>
      <c r="M974" s="45"/>
    </row>
    <row r="975" spans="1:13" ht="15" customHeight="1" x14ac:dyDescent="0.25">
      <c r="A975" s="175"/>
      <c r="B975" s="170"/>
      <c r="C975" s="170"/>
      <c r="D975" s="210"/>
      <c r="E975" s="176">
        <f t="shared" si="15"/>
        <v>662274.450000023</v>
      </c>
      <c r="F975" s="173"/>
      <c r="G975" s="174"/>
      <c r="H975" s="177"/>
      <c r="I975" s="197"/>
      <c r="J975" s="174"/>
      <c r="K975" s="66"/>
      <c r="L975" s="66"/>
      <c r="M975" s="45"/>
    </row>
    <row r="976" spans="1:13" ht="15" customHeight="1" x14ac:dyDescent="0.25">
      <c r="A976" s="175"/>
      <c r="B976" s="170"/>
      <c r="C976" s="170"/>
      <c r="D976" s="210"/>
      <c r="E976" s="176">
        <f t="shared" si="15"/>
        <v>662274.450000023</v>
      </c>
      <c r="F976" s="204"/>
      <c r="G976" s="181"/>
      <c r="H976" s="205"/>
      <c r="I976" s="181"/>
      <c r="J976" s="217"/>
      <c r="K976" s="66"/>
      <c r="L976" s="66"/>
      <c r="M976" s="45"/>
    </row>
    <row r="977" spans="1:13" ht="15" customHeight="1" x14ac:dyDescent="0.25">
      <c r="A977" s="175"/>
      <c r="B977" s="170"/>
      <c r="C977" s="210"/>
      <c r="D977" s="170"/>
      <c r="E977" s="176">
        <f t="shared" si="15"/>
        <v>662274.450000023</v>
      </c>
      <c r="F977" s="174"/>
      <c r="G977" s="174"/>
      <c r="H977" s="174"/>
      <c r="I977" s="174"/>
      <c r="J977" s="174"/>
      <c r="K977" s="66"/>
      <c r="L977" s="66"/>
      <c r="M977" s="45"/>
    </row>
    <row r="978" spans="1:13" ht="15" customHeight="1" x14ac:dyDescent="0.25">
      <c r="A978" s="175"/>
      <c r="B978" s="170"/>
      <c r="C978" s="210"/>
      <c r="D978" s="170"/>
      <c r="E978" s="176">
        <f t="shared" si="15"/>
        <v>662274.450000023</v>
      </c>
      <c r="F978" s="174"/>
      <c r="G978" s="174"/>
      <c r="H978" s="174"/>
      <c r="I978" s="174"/>
      <c r="J978" s="174"/>
      <c r="K978" s="66"/>
      <c r="L978" s="66"/>
      <c r="M978" s="45"/>
    </row>
    <row r="979" spans="1:13" ht="15" customHeight="1" x14ac:dyDescent="0.25">
      <c r="A979" s="175"/>
      <c r="B979" s="170"/>
      <c r="C979" s="210"/>
      <c r="D979" s="170"/>
      <c r="E979" s="176">
        <f t="shared" si="15"/>
        <v>662274.450000023</v>
      </c>
      <c r="F979" s="204"/>
      <c r="G979" s="181"/>
      <c r="H979" s="205"/>
      <c r="I979" s="181"/>
      <c r="J979" s="217"/>
      <c r="K979" s="66"/>
      <c r="L979" s="66"/>
      <c r="M979" s="45"/>
    </row>
    <row r="980" spans="1:13" ht="15" customHeight="1" x14ac:dyDescent="0.25">
      <c r="A980" s="175"/>
      <c r="B980" s="170"/>
      <c r="C980" s="210"/>
      <c r="D980" s="170"/>
      <c r="E980" s="176">
        <f t="shared" si="15"/>
        <v>662274.450000023</v>
      </c>
      <c r="F980" s="173"/>
      <c r="G980" s="199"/>
      <c r="H980" s="203"/>
      <c r="I980" s="197"/>
      <c r="J980" s="174"/>
      <c r="K980" s="66"/>
      <c r="L980" s="66"/>
      <c r="M980" s="45"/>
    </row>
    <row r="981" spans="1:13" ht="15" customHeight="1" x14ac:dyDescent="0.25">
      <c r="A981" s="175"/>
      <c r="B981" s="170"/>
      <c r="C981" s="210"/>
      <c r="D981" s="170"/>
      <c r="E981" s="176">
        <f t="shared" si="15"/>
        <v>662274.450000023</v>
      </c>
      <c r="F981" s="173"/>
      <c r="G981" s="199"/>
      <c r="H981" s="203"/>
      <c r="I981" s="197"/>
      <c r="J981" s="174"/>
      <c r="K981" s="67"/>
      <c r="L981" s="66"/>
      <c r="M981" s="45"/>
    </row>
    <row r="982" spans="1:13" ht="15" customHeight="1" x14ac:dyDescent="0.25">
      <c r="A982" s="175"/>
      <c r="B982" s="170"/>
      <c r="C982" s="210"/>
      <c r="D982" s="170"/>
      <c r="E982" s="176">
        <f t="shared" si="15"/>
        <v>662274.450000023</v>
      </c>
      <c r="F982" s="173"/>
      <c r="G982" s="199"/>
      <c r="H982" s="203"/>
      <c r="I982" s="197"/>
      <c r="J982" s="174"/>
      <c r="K982" s="66"/>
      <c r="L982" s="66"/>
      <c r="M982" s="45"/>
    </row>
    <row r="983" spans="1:13" ht="15" customHeight="1" x14ac:dyDescent="0.25">
      <c r="A983" s="175"/>
      <c r="B983" s="170"/>
      <c r="C983" s="210"/>
      <c r="D983" s="170"/>
      <c r="E983" s="176">
        <f t="shared" si="15"/>
        <v>662274.450000023</v>
      </c>
      <c r="F983" s="174"/>
      <c r="G983" s="174"/>
      <c r="H983" s="174"/>
      <c r="I983" s="174"/>
      <c r="J983" s="174"/>
      <c r="K983" s="66"/>
      <c r="L983" s="66"/>
      <c r="M983" s="45"/>
    </row>
    <row r="984" spans="1:13" ht="15" customHeight="1" x14ac:dyDescent="0.25">
      <c r="A984" s="175"/>
      <c r="B984" s="170"/>
      <c r="C984" s="210"/>
      <c r="D984" s="170"/>
      <c r="E984" s="176">
        <f t="shared" si="15"/>
        <v>662274.450000023</v>
      </c>
      <c r="F984" s="174"/>
      <c r="G984" s="174"/>
      <c r="H984" s="174"/>
      <c r="I984" s="174"/>
      <c r="J984" s="174"/>
      <c r="K984" s="66"/>
      <c r="L984" s="66"/>
      <c r="M984" s="45"/>
    </row>
    <row r="985" spans="1:13" ht="15" customHeight="1" x14ac:dyDescent="0.25">
      <c r="A985" s="175"/>
      <c r="B985" s="170"/>
      <c r="C985" s="210"/>
      <c r="D985" s="170"/>
      <c r="E985" s="176">
        <f t="shared" si="15"/>
        <v>662274.450000023</v>
      </c>
      <c r="F985" s="174"/>
      <c r="G985" s="174"/>
      <c r="H985" s="174"/>
      <c r="I985" s="174"/>
      <c r="J985" s="174"/>
      <c r="K985" s="66"/>
      <c r="L985" s="66"/>
      <c r="M985" s="45"/>
    </row>
    <row r="986" spans="1:13" ht="15" customHeight="1" x14ac:dyDescent="0.25">
      <c r="A986" s="175"/>
      <c r="B986" s="170"/>
      <c r="C986" s="210"/>
      <c r="D986" s="170"/>
      <c r="E986" s="176">
        <f t="shared" si="15"/>
        <v>662274.450000023</v>
      </c>
      <c r="F986" s="204"/>
      <c r="G986" s="181"/>
      <c r="H986" s="205"/>
      <c r="I986" s="181"/>
      <c r="J986" s="206"/>
      <c r="K986" s="66"/>
      <c r="L986" s="66"/>
      <c r="M986" s="45"/>
    </row>
    <row r="987" spans="1:13" ht="15" customHeight="1" x14ac:dyDescent="0.25">
      <c r="A987" s="175"/>
      <c r="B987" s="170"/>
      <c r="C987" s="210"/>
      <c r="D987" s="170"/>
      <c r="E987" s="176">
        <f t="shared" si="15"/>
        <v>662274.450000023</v>
      </c>
      <c r="F987" s="174"/>
      <c r="G987" s="174"/>
      <c r="H987" s="174"/>
      <c r="I987" s="174"/>
      <c r="J987" s="174"/>
      <c r="K987" s="66"/>
      <c r="L987" s="66"/>
      <c r="M987" s="45"/>
    </row>
    <row r="988" spans="1:13" ht="15" customHeight="1" x14ac:dyDescent="0.25">
      <c r="A988" s="175"/>
      <c r="B988" s="170"/>
      <c r="C988" s="210"/>
      <c r="D988" s="170"/>
      <c r="E988" s="176">
        <f t="shared" si="15"/>
        <v>662274.450000023</v>
      </c>
      <c r="F988" s="174"/>
      <c r="G988" s="174"/>
      <c r="H988" s="174"/>
      <c r="I988" s="174"/>
      <c r="J988" s="174"/>
      <c r="K988" s="66"/>
      <c r="L988" s="66"/>
      <c r="M988" s="45"/>
    </row>
    <row r="989" spans="1:13" ht="15" customHeight="1" x14ac:dyDescent="0.25">
      <c r="A989" s="175"/>
      <c r="B989" s="170"/>
      <c r="C989" s="210"/>
      <c r="D989" s="170"/>
      <c r="E989" s="176">
        <f t="shared" si="15"/>
        <v>662274.450000023</v>
      </c>
      <c r="F989" s="174"/>
      <c r="G989" s="174"/>
      <c r="H989" s="174"/>
      <c r="I989" s="174"/>
      <c r="J989" s="174"/>
      <c r="K989" s="66"/>
      <c r="L989" s="66"/>
      <c r="M989" s="45"/>
    </row>
    <row r="990" spans="1:13" ht="15" customHeight="1" x14ac:dyDescent="0.25">
      <c r="A990" s="175"/>
      <c r="B990" s="170"/>
      <c r="C990" s="210"/>
      <c r="D990" s="170"/>
      <c r="E990" s="176">
        <f t="shared" si="15"/>
        <v>662274.450000023</v>
      </c>
      <c r="F990" s="173"/>
      <c r="G990" s="174"/>
      <c r="H990" s="177"/>
      <c r="I990" s="197"/>
      <c r="J990" s="174"/>
      <c r="K990" s="66"/>
      <c r="L990" s="66"/>
      <c r="M990" s="45"/>
    </row>
    <row r="991" spans="1:13" ht="15" customHeight="1" x14ac:dyDescent="0.25">
      <c r="A991" s="175"/>
      <c r="B991" s="170"/>
      <c r="C991" s="210"/>
      <c r="D991" s="170"/>
      <c r="E991" s="176">
        <f t="shared" si="15"/>
        <v>662274.450000023</v>
      </c>
      <c r="F991" s="174"/>
      <c r="G991" s="174"/>
      <c r="H991" s="174"/>
      <c r="I991" s="174"/>
      <c r="J991" s="174"/>
      <c r="K991" s="66"/>
      <c r="L991" s="66"/>
      <c r="M991" s="45"/>
    </row>
    <row r="992" spans="1:13" ht="15" customHeight="1" x14ac:dyDescent="0.25">
      <c r="A992" s="175"/>
      <c r="B992" s="170"/>
      <c r="C992" s="210"/>
      <c r="D992" s="170"/>
      <c r="E992" s="176">
        <f t="shared" si="15"/>
        <v>662274.450000023</v>
      </c>
      <c r="F992" s="173"/>
      <c r="G992" s="174"/>
      <c r="H992" s="177"/>
      <c r="I992" s="197"/>
      <c r="J992" s="174"/>
      <c r="K992" s="66"/>
      <c r="L992" s="66"/>
      <c r="M992" s="45"/>
    </row>
    <row r="993" spans="1:13" ht="15" customHeight="1" x14ac:dyDescent="0.25">
      <c r="A993" s="175"/>
      <c r="B993" s="170"/>
      <c r="C993" s="210"/>
      <c r="D993" s="170"/>
      <c r="E993" s="176">
        <f t="shared" si="15"/>
        <v>662274.450000023</v>
      </c>
      <c r="F993" s="174"/>
      <c r="G993" s="174"/>
      <c r="H993" s="174"/>
      <c r="I993" s="174"/>
      <c r="J993" s="174"/>
      <c r="K993" s="66"/>
      <c r="L993" s="66"/>
      <c r="M993" s="45"/>
    </row>
    <row r="994" spans="1:13" ht="15" customHeight="1" x14ac:dyDescent="0.25">
      <c r="A994" s="175"/>
      <c r="B994" s="170"/>
      <c r="C994" s="210"/>
      <c r="D994" s="170"/>
      <c r="E994" s="176">
        <f t="shared" si="15"/>
        <v>662274.450000023</v>
      </c>
      <c r="F994" s="174"/>
      <c r="G994" s="174"/>
      <c r="H994" s="174"/>
      <c r="I994" s="174"/>
      <c r="J994" s="174"/>
      <c r="K994" s="66"/>
      <c r="L994" s="66"/>
      <c r="M994" s="45"/>
    </row>
    <row r="995" spans="1:13" ht="15" customHeight="1" x14ac:dyDescent="0.25">
      <c r="A995" s="175"/>
      <c r="B995" s="170"/>
      <c r="C995" s="210"/>
      <c r="D995" s="170"/>
      <c r="E995" s="176">
        <f t="shared" si="15"/>
        <v>662274.450000023</v>
      </c>
      <c r="F995" s="174"/>
      <c r="G995" s="174"/>
      <c r="H995" s="174"/>
      <c r="I995" s="174"/>
      <c r="J995" s="174"/>
      <c r="K995" s="66"/>
      <c r="L995" s="66"/>
      <c r="M995" s="45"/>
    </row>
    <row r="996" spans="1:13" ht="15" customHeight="1" x14ac:dyDescent="0.25">
      <c r="A996" s="175"/>
      <c r="B996" s="170"/>
      <c r="C996" s="210"/>
      <c r="D996" s="170"/>
      <c r="E996" s="176">
        <f t="shared" si="15"/>
        <v>662274.450000023</v>
      </c>
      <c r="F996" s="174"/>
      <c r="G996" s="174"/>
      <c r="H996" s="174"/>
      <c r="I996" s="174"/>
      <c r="J996" s="174"/>
      <c r="K996" s="66"/>
      <c r="L996" s="66"/>
      <c r="M996" s="45"/>
    </row>
    <row r="997" spans="1:13" ht="15" customHeight="1" x14ac:dyDescent="0.25">
      <c r="A997" s="175"/>
      <c r="B997" s="170"/>
      <c r="C997" s="210"/>
      <c r="D997" s="170"/>
      <c r="E997" s="176">
        <f t="shared" si="15"/>
        <v>662274.450000023</v>
      </c>
      <c r="F997" s="174"/>
      <c r="G997" s="174"/>
      <c r="H997" s="174"/>
      <c r="I997" s="174"/>
      <c r="J997" s="174"/>
      <c r="K997" s="66"/>
      <c r="L997" s="66"/>
      <c r="M997" s="45"/>
    </row>
    <row r="998" spans="1:13" ht="15" customHeight="1" x14ac:dyDescent="0.25">
      <c r="A998" s="175"/>
      <c r="B998" s="170"/>
      <c r="C998" s="210"/>
      <c r="D998" s="170"/>
      <c r="E998" s="176">
        <f t="shared" si="15"/>
        <v>662274.450000023</v>
      </c>
      <c r="F998" s="174"/>
      <c r="G998" s="174"/>
      <c r="H998" s="174"/>
      <c r="I998" s="174"/>
      <c r="J998" s="174"/>
      <c r="K998" s="66"/>
      <c r="L998" s="66"/>
      <c r="M998" s="45"/>
    </row>
    <row r="999" spans="1:13" ht="15" customHeight="1" x14ac:dyDescent="0.25">
      <c r="A999" s="175"/>
      <c r="B999" s="170"/>
      <c r="C999" s="210"/>
      <c r="D999" s="170"/>
      <c r="E999" s="176">
        <f t="shared" si="15"/>
        <v>662274.450000023</v>
      </c>
      <c r="F999" s="174"/>
      <c r="G999" s="174"/>
      <c r="H999" s="174"/>
      <c r="I999" s="174"/>
      <c r="J999" s="174"/>
      <c r="K999" s="66"/>
      <c r="L999" s="66"/>
      <c r="M999" s="45"/>
    </row>
    <row r="1000" spans="1:13" ht="15" customHeight="1" x14ac:dyDescent="0.25">
      <c r="A1000" s="175"/>
      <c r="B1000" s="170"/>
      <c r="C1000" s="210"/>
      <c r="D1000" s="170"/>
      <c r="E1000" s="176">
        <f t="shared" si="15"/>
        <v>662274.450000023</v>
      </c>
      <c r="F1000" s="174"/>
      <c r="G1000" s="174"/>
      <c r="H1000" s="174"/>
      <c r="I1000" s="174"/>
      <c r="J1000" s="174"/>
      <c r="K1000" s="66"/>
      <c r="L1000" s="66"/>
      <c r="M1000" s="45"/>
    </row>
    <row r="1001" spans="1:13" ht="15" customHeight="1" x14ac:dyDescent="0.25">
      <c r="A1001" s="175"/>
      <c r="B1001" s="170"/>
      <c r="C1001" s="210"/>
      <c r="D1001" s="170"/>
      <c r="E1001" s="176">
        <f t="shared" si="15"/>
        <v>662274.450000023</v>
      </c>
      <c r="F1001" s="174"/>
      <c r="G1001" s="174"/>
      <c r="H1001" s="174"/>
      <c r="I1001" s="174"/>
      <c r="J1001" s="174"/>
      <c r="K1001" s="66"/>
      <c r="L1001" s="66"/>
      <c r="M1001" s="45"/>
    </row>
    <row r="1002" spans="1:13" ht="15" customHeight="1" x14ac:dyDescent="0.25">
      <c r="A1002" s="175"/>
      <c r="B1002" s="170"/>
      <c r="C1002" s="210"/>
      <c r="D1002" s="170"/>
      <c r="E1002" s="176">
        <f t="shared" si="15"/>
        <v>662274.450000023</v>
      </c>
      <c r="F1002" s="174"/>
      <c r="G1002" s="174"/>
      <c r="H1002" s="174"/>
      <c r="I1002" s="174"/>
      <c r="J1002" s="174"/>
      <c r="K1002" s="66"/>
      <c r="L1002" s="66"/>
      <c r="M1002" s="45"/>
    </row>
    <row r="1003" spans="1:13" ht="15" customHeight="1" x14ac:dyDescent="0.25">
      <c r="A1003" s="175"/>
      <c r="B1003" s="170"/>
      <c r="C1003" s="210"/>
      <c r="D1003" s="170"/>
      <c r="E1003" s="176">
        <f t="shared" si="15"/>
        <v>662274.450000023</v>
      </c>
      <c r="F1003" s="174"/>
      <c r="G1003" s="174"/>
      <c r="H1003" s="174"/>
      <c r="I1003" s="174"/>
      <c r="J1003" s="174"/>
      <c r="K1003" s="66"/>
      <c r="L1003" s="66"/>
      <c r="M1003" s="45"/>
    </row>
    <row r="1004" spans="1:13" ht="15" customHeight="1" x14ac:dyDescent="0.25">
      <c r="A1004" s="175"/>
      <c r="B1004" s="170"/>
      <c r="C1004" s="210"/>
      <c r="D1004" s="170"/>
      <c r="E1004" s="176">
        <f t="shared" si="15"/>
        <v>662274.450000023</v>
      </c>
      <c r="F1004" s="174"/>
      <c r="G1004" s="174"/>
      <c r="H1004" s="174"/>
      <c r="I1004" s="174"/>
      <c r="J1004" s="174"/>
      <c r="K1004" s="66"/>
      <c r="L1004" s="66"/>
      <c r="M1004" s="45"/>
    </row>
    <row r="1005" spans="1:13" ht="15" customHeight="1" x14ac:dyDescent="0.25">
      <c r="A1005" s="175"/>
      <c r="B1005" s="170"/>
      <c r="C1005" s="210"/>
      <c r="D1005" s="170"/>
      <c r="E1005" s="176">
        <f t="shared" si="15"/>
        <v>662274.450000023</v>
      </c>
      <c r="F1005" s="174"/>
      <c r="G1005" s="174"/>
      <c r="H1005" s="174"/>
      <c r="I1005" s="174"/>
      <c r="J1005" s="174"/>
      <c r="K1005" s="66"/>
      <c r="L1005" s="66"/>
      <c r="M1005" s="45"/>
    </row>
    <row r="1006" spans="1:13" ht="15" customHeight="1" x14ac:dyDescent="0.25">
      <c r="A1006" s="175"/>
      <c r="B1006" s="170"/>
      <c r="C1006" s="210"/>
      <c r="D1006" s="170"/>
      <c r="E1006" s="176">
        <f t="shared" si="15"/>
        <v>662274.450000023</v>
      </c>
      <c r="F1006" s="174"/>
      <c r="G1006" s="174"/>
      <c r="H1006" s="174"/>
      <c r="I1006" s="174"/>
      <c r="J1006" s="174"/>
      <c r="K1006" s="66"/>
      <c r="L1006" s="66"/>
      <c r="M1006" s="45"/>
    </row>
    <row r="1007" spans="1:13" ht="15" customHeight="1" x14ac:dyDescent="0.25">
      <c r="A1007" s="175"/>
      <c r="B1007" s="170"/>
      <c r="C1007" s="210"/>
      <c r="D1007" s="170"/>
      <c r="E1007" s="176">
        <f t="shared" si="15"/>
        <v>662274.450000023</v>
      </c>
      <c r="F1007" s="174"/>
      <c r="G1007" s="174"/>
      <c r="H1007" s="174"/>
      <c r="I1007" s="174"/>
      <c r="J1007" s="174"/>
      <c r="K1007" s="66"/>
      <c r="L1007" s="66"/>
      <c r="M1007" s="45"/>
    </row>
    <row r="1008" spans="1:13" ht="15" customHeight="1" x14ac:dyDescent="0.25">
      <c r="A1008" s="175"/>
      <c r="B1008" s="170"/>
      <c r="C1008" s="210"/>
      <c r="D1008" s="170"/>
      <c r="E1008" s="176">
        <f t="shared" si="15"/>
        <v>662274.450000023</v>
      </c>
      <c r="F1008" s="174"/>
      <c r="G1008" s="174"/>
      <c r="H1008" s="174"/>
      <c r="I1008" s="174"/>
      <c r="J1008" s="174"/>
      <c r="K1008" s="66"/>
      <c r="L1008" s="66"/>
      <c r="M1008" s="45"/>
    </row>
    <row r="1009" spans="1:13" ht="15" customHeight="1" x14ac:dyDescent="0.25">
      <c r="A1009" s="175"/>
      <c r="B1009" s="170"/>
      <c r="C1009" s="210"/>
      <c r="D1009" s="170"/>
      <c r="E1009" s="176">
        <f t="shared" si="15"/>
        <v>662274.450000023</v>
      </c>
      <c r="F1009" s="174"/>
      <c r="G1009" s="174"/>
      <c r="H1009" s="174"/>
      <c r="I1009" s="174"/>
      <c r="J1009" s="174"/>
      <c r="K1009" s="66"/>
      <c r="L1009" s="66"/>
      <c r="M1009" s="45"/>
    </row>
    <row r="1010" spans="1:13" ht="15" customHeight="1" x14ac:dyDescent="0.25">
      <c r="A1010" s="175"/>
      <c r="B1010" s="170"/>
      <c r="C1010" s="210"/>
      <c r="D1010" s="170"/>
      <c r="E1010" s="176">
        <f t="shared" si="15"/>
        <v>662274.450000023</v>
      </c>
      <c r="F1010" s="174"/>
      <c r="G1010" s="174"/>
      <c r="H1010" s="174"/>
      <c r="I1010" s="174"/>
      <c r="J1010" s="174"/>
      <c r="K1010" s="66"/>
      <c r="L1010" s="66"/>
      <c r="M1010" s="45"/>
    </row>
    <row r="1011" spans="1:13" ht="15" customHeight="1" x14ac:dyDescent="0.25">
      <c r="A1011" s="175"/>
      <c r="B1011" s="170"/>
      <c r="C1011" s="210"/>
      <c r="D1011" s="170"/>
      <c r="E1011" s="176">
        <f t="shared" si="15"/>
        <v>662274.450000023</v>
      </c>
      <c r="F1011" s="174"/>
      <c r="G1011" s="174"/>
      <c r="H1011" s="174"/>
      <c r="I1011" s="174"/>
      <c r="J1011" s="174"/>
      <c r="K1011" s="66"/>
      <c r="L1011" s="66"/>
      <c r="M1011" s="45"/>
    </row>
    <row r="1012" spans="1:13" ht="15" customHeight="1" x14ac:dyDescent="0.25">
      <c r="A1012" s="175"/>
      <c r="B1012" s="170"/>
      <c r="C1012" s="210"/>
      <c r="D1012" s="170"/>
      <c r="E1012" s="176">
        <f t="shared" si="15"/>
        <v>662274.450000023</v>
      </c>
      <c r="F1012" s="174"/>
      <c r="G1012" s="174"/>
      <c r="H1012" s="174"/>
      <c r="I1012" s="174"/>
      <c r="J1012" s="174"/>
      <c r="K1012" s="66"/>
      <c r="L1012" s="66"/>
      <c r="M1012" s="45"/>
    </row>
    <row r="1013" spans="1:13" ht="15" customHeight="1" x14ac:dyDescent="0.25">
      <c r="A1013" s="175"/>
      <c r="B1013" s="170"/>
      <c r="C1013" s="210"/>
      <c r="D1013" s="170"/>
      <c r="E1013" s="176">
        <f t="shared" si="15"/>
        <v>662274.450000023</v>
      </c>
      <c r="F1013" s="174"/>
      <c r="G1013" s="174"/>
      <c r="H1013" s="174"/>
      <c r="I1013" s="174"/>
      <c r="J1013" s="174"/>
      <c r="K1013" s="66"/>
      <c r="L1013" s="66"/>
      <c r="M1013" s="45"/>
    </row>
    <row r="1014" spans="1:13" ht="15" customHeight="1" x14ac:dyDescent="0.25">
      <c r="A1014" s="175"/>
      <c r="B1014" s="170"/>
      <c r="C1014" s="210"/>
      <c r="D1014" s="170"/>
      <c r="E1014" s="176">
        <f t="shared" si="15"/>
        <v>662274.450000023</v>
      </c>
      <c r="F1014" s="174"/>
      <c r="G1014" s="174"/>
      <c r="H1014" s="174"/>
      <c r="I1014" s="174"/>
      <c r="J1014" s="174"/>
      <c r="K1014" s="66"/>
      <c r="L1014" s="66"/>
      <c r="M1014" s="45"/>
    </row>
    <row r="1015" spans="1:13" ht="15" customHeight="1" x14ac:dyDescent="0.25">
      <c r="A1015" s="175"/>
      <c r="B1015" s="170"/>
      <c r="C1015" s="210"/>
      <c r="D1015" s="170"/>
      <c r="E1015" s="176">
        <f t="shared" si="15"/>
        <v>662274.450000023</v>
      </c>
      <c r="F1015" s="174"/>
      <c r="G1015" s="174"/>
      <c r="H1015" s="174"/>
      <c r="I1015" s="174"/>
      <c r="J1015" s="174"/>
      <c r="K1015" s="66"/>
      <c r="L1015" s="66"/>
      <c r="M1015" s="45"/>
    </row>
    <row r="1016" spans="1:13" ht="15" customHeight="1" x14ac:dyDescent="0.25">
      <c r="A1016" s="175"/>
      <c r="B1016" s="170"/>
      <c r="C1016" s="210"/>
      <c r="D1016" s="170"/>
      <c r="E1016" s="176">
        <f t="shared" si="15"/>
        <v>662274.450000023</v>
      </c>
      <c r="F1016" s="174"/>
      <c r="G1016" s="174"/>
      <c r="H1016" s="174"/>
      <c r="I1016" s="174"/>
      <c r="J1016" s="174"/>
      <c r="K1016" s="66"/>
      <c r="L1016" s="66"/>
      <c r="M1016" s="45"/>
    </row>
    <row r="1017" spans="1:13" ht="15" customHeight="1" x14ac:dyDescent="0.25">
      <c r="A1017" s="175"/>
      <c r="B1017" s="170"/>
      <c r="C1017" s="210"/>
      <c r="D1017" s="170"/>
      <c r="E1017" s="176">
        <f t="shared" si="15"/>
        <v>662274.450000023</v>
      </c>
      <c r="F1017" s="174"/>
      <c r="G1017" s="174"/>
      <c r="H1017" s="174"/>
      <c r="I1017" s="174"/>
      <c r="J1017" s="174"/>
      <c r="K1017" s="66"/>
      <c r="L1017" s="66"/>
      <c r="M1017" s="45"/>
    </row>
    <row r="1018" spans="1:13" ht="15" customHeight="1" x14ac:dyDescent="0.25">
      <c r="A1018" s="175"/>
      <c r="B1018" s="170"/>
      <c r="C1018" s="210"/>
      <c r="D1018" s="170"/>
      <c r="E1018" s="176">
        <f t="shared" si="15"/>
        <v>662274.450000023</v>
      </c>
      <c r="F1018" s="174"/>
      <c r="G1018" s="174"/>
      <c r="H1018" s="174"/>
      <c r="I1018" s="174"/>
      <c r="J1018" s="174"/>
      <c r="K1018" s="66"/>
      <c r="L1018" s="66"/>
      <c r="M1018" s="45"/>
    </row>
    <row r="1019" spans="1:13" ht="15" customHeight="1" x14ac:dyDescent="0.25">
      <c r="A1019" s="175"/>
      <c r="B1019" s="170"/>
      <c r="C1019" s="210"/>
      <c r="D1019" s="170"/>
      <c r="E1019" s="176">
        <f t="shared" si="15"/>
        <v>662274.450000023</v>
      </c>
      <c r="F1019" s="174"/>
      <c r="G1019" s="174"/>
      <c r="H1019" s="174"/>
      <c r="I1019" s="174"/>
      <c r="J1019" s="174"/>
      <c r="K1019" s="66"/>
      <c r="L1019" s="66"/>
      <c r="M1019" s="45"/>
    </row>
    <row r="1020" spans="1:13" ht="15" customHeight="1" x14ac:dyDescent="0.25">
      <c r="A1020" s="175"/>
      <c r="B1020" s="170"/>
      <c r="C1020" s="210"/>
      <c r="D1020" s="170"/>
      <c r="E1020" s="176">
        <f t="shared" si="15"/>
        <v>662274.450000023</v>
      </c>
      <c r="F1020" s="174"/>
      <c r="G1020" s="174"/>
      <c r="H1020" s="174"/>
      <c r="I1020" s="174"/>
      <c r="J1020" s="174"/>
      <c r="K1020" s="66"/>
      <c r="L1020" s="66"/>
      <c r="M1020" s="45"/>
    </row>
    <row r="1021" spans="1:13" ht="15" customHeight="1" x14ac:dyDescent="0.25">
      <c r="A1021" s="175"/>
      <c r="B1021" s="170"/>
      <c r="C1021" s="210"/>
      <c r="D1021" s="170"/>
      <c r="E1021" s="176">
        <f t="shared" si="15"/>
        <v>662274.450000023</v>
      </c>
      <c r="F1021" s="174"/>
      <c r="G1021" s="174"/>
      <c r="H1021" s="174"/>
      <c r="I1021" s="174"/>
      <c r="J1021" s="174"/>
      <c r="K1021" s="66"/>
      <c r="L1021" s="66"/>
      <c r="M1021" s="45"/>
    </row>
    <row r="1022" spans="1:13" ht="15" customHeight="1" x14ac:dyDescent="0.25">
      <c r="A1022" s="175"/>
      <c r="B1022" s="170"/>
      <c r="C1022" s="210"/>
      <c r="D1022" s="170"/>
      <c r="E1022" s="176">
        <f t="shared" si="15"/>
        <v>662274.450000023</v>
      </c>
      <c r="F1022" s="174"/>
      <c r="G1022" s="174"/>
      <c r="H1022" s="174"/>
      <c r="I1022" s="174"/>
      <c r="J1022" s="174"/>
      <c r="K1022" s="66"/>
      <c r="L1022" s="66"/>
      <c r="M1022" s="45"/>
    </row>
    <row r="1023" spans="1:13" ht="15" customHeight="1" x14ac:dyDescent="0.25">
      <c r="A1023" s="175"/>
      <c r="B1023" s="170"/>
      <c r="C1023" s="210"/>
      <c r="D1023" s="170"/>
      <c r="E1023" s="176">
        <f t="shared" si="15"/>
        <v>662274.450000023</v>
      </c>
      <c r="F1023" s="204"/>
      <c r="G1023" s="181"/>
      <c r="H1023" s="205"/>
      <c r="I1023" s="181"/>
      <c r="J1023" s="206"/>
      <c r="K1023" s="66"/>
      <c r="L1023" s="66"/>
      <c r="M1023" s="45"/>
    </row>
    <row r="1024" spans="1:13" ht="15" customHeight="1" x14ac:dyDescent="0.25">
      <c r="A1024" s="175"/>
      <c r="B1024" s="170"/>
      <c r="C1024" s="210"/>
      <c r="D1024" s="170"/>
      <c r="E1024" s="176">
        <f t="shared" si="15"/>
        <v>662274.450000023</v>
      </c>
      <c r="F1024" s="174"/>
      <c r="G1024" s="174"/>
      <c r="H1024" s="174"/>
      <c r="I1024" s="174"/>
      <c r="J1024" s="174"/>
      <c r="K1024" s="66"/>
      <c r="L1024" s="66"/>
      <c r="M1024" s="45"/>
    </row>
    <row r="1025" spans="1:13" ht="15" customHeight="1" x14ac:dyDescent="0.25">
      <c r="A1025" s="175"/>
      <c r="B1025" s="170"/>
      <c r="C1025" s="210"/>
      <c r="D1025" s="170"/>
      <c r="E1025" s="176">
        <f t="shared" si="15"/>
        <v>662274.450000023</v>
      </c>
      <c r="F1025" s="174"/>
      <c r="G1025" s="174"/>
      <c r="H1025" s="174"/>
      <c r="I1025" s="174"/>
      <c r="J1025" s="174"/>
      <c r="K1025" s="66"/>
      <c r="L1025" s="66"/>
      <c r="M1025" s="45"/>
    </row>
    <row r="1026" spans="1:13" ht="15" customHeight="1" x14ac:dyDescent="0.25">
      <c r="A1026" s="175"/>
      <c r="B1026" s="170"/>
      <c r="C1026" s="210"/>
      <c r="D1026" s="170"/>
      <c r="E1026" s="176">
        <f t="shared" si="15"/>
        <v>662274.450000023</v>
      </c>
      <c r="F1026" s="174"/>
      <c r="G1026" s="174"/>
      <c r="H1026" s="174"/>
      <c r="I1026" s="174"/>
      <c r="J1026" s="174"/>
      <c r="K1026" s="66"/>
      <c r="L1026" s="66"/>
      <c r="M1026" s="45"/>
    </row>
    <row r="1027" spans="1:13" ht="15" customHeight="1" x14ac:dyDescent="0.25">
      <c r="A1027" s="175"/>
      <c r="B1027" s="170"/>
      <c r="C1027" s="210"/>
      <c r="D1027" s="170"/>
      <c r="E1027" s="176">
        <f t="shared" si="15"/>
        <v>662274.450000023</v>
      </c>
      <c r="F1027" s="173"/>
      <c r="G1027" s="199"/>
      <c r="H1027" s="192"/>
      <c r="I1027" s="197"/>
      <c r="J1027" s="174"/>
      <c r="K1027" s="66"/>
      <c r="L1027" s="66"/>
      <c r="M1027" s="45"/>
    </row>
    <row r="1028" spans="1:13" ht="15" customHeight="1" x14ac:dyDescent="0.25">
      <c r="A1028" s="175"/>
      <c r="B1028" s="170"/>
      <c r="C1028" s="210"/>
      <c r="D1028" s="170"/>
      <c r="E1028" s="176">
        <f t="shared" si="15"/>
        <v>662274.450000023</v>
      </c>
      <c r="F1028" s="173"/>
      <c r="G1028" s="199"/>
      <c r="H1028" s="192"/>
      <c r="I1028" s="197"/>
      <c r="J1028" s="174"/>
      <c r="K1028" s="66"/>
      <c r="L1028" s="66"/>
      <c r="M1028" s="45"/>
    </row>
    <row r="1029" spans="1:13" ht="15" customHeight="1" x14ac:dyDescent="0.25">
      <c r="A1029" s="175"/>
      <c r="B1029" s="170"/>
      <c r="C1029" s="210"/>
      <c r="D1029" s="170"/>
      <c r="E1029" s="176">
        <f t="shared" si="15"/>
        <v>662274.450000023</v>
      </c>
      <c r="F1029" s="174"/>
      <c r="G1029" s="174"/>
      <c r="H1029" s="174"/>
      <c r="I1029" s="174"/>
      <c r="J1029" s="174"/>
      <c r="K1029" s="66"/>
      <c r="L1029" s="66"/>
      <c r="M1029" s="45"/>
    </row>
    <row r="1030" spans="1:13" ht="15" customHeight="1" x14ac:dyDescent="0.25">
      <c r="A1030" s="175"/>
      <c r="B1030" s="170"/>
      <c r="C1030" s="210"/>
      <c r="D1030" s="170"/>
      <c r="E1030" s="176">
        <f t="shared" si="15"/>
        <v>662274.450000023</v>
      </c>
      <c r="F1030" s="174"/>
      <c r="G1030" s="174"/>
      <c r="H1030" s="174"/>
      <c r="I1030" s="174"/>
      <c r="J1030" s="174"/>
      <c r="K1030" s="66"/>
      <c r="L1030" s="66"/>
      <c r="M1030" s="45"/>
    </row>
    <row r="1031" spans="1:13" ht="15" customHeight="1" x14ac:dyDescent="0.25">
      <c r="A1031" s="175"/>
      <c r="B1031" s="170"/>
      <c r="C1031" s="210"/>
      <c r="D1031" s="170"/>
      <c r="E1031" s="176">
        <f t="shared" si="15"/>
        <v>662274.450000023</v>
      </c>
      <c r="F1031" s="174"/>
      <c r="G1031" s="174"/>
      <c r="H1031" s="174"/>
      <c r="I1031" s="174"/>
      <c r="J1031" s="174"/>
      <c r="K1031" s="66"/>
      <c r="L1031" s="66"/>
      <c r="M1031" s="45"/>
    </row>
    <row r="1032" spans="1:13" ht="15" customHeight="1" x14ac:dyDescent="0.25">
      <c r="A1032" s="175"/>
      <c r="B1032" s="170"/>
      <c r="C1032" s="210"/>
      <c r="D1032" s="170"/>
      <c r="E1032" s="176">
        <f t="shared" ref="E1032:E1095" si="16">E1031-C1032+D1032</f>
        <v>662274.450000023</v>
      </c>
      <c r="F1032" s="174"/>
      <c r="G1032" s="174"/>
      <c r="H1032" s="174"/>
      <c r="I1032" s="174"/>
      <c r="J1032" s="174"/>
      <c r="K1032" s="66"/>
      <c r="L1032" s="66"/>
      <c r="M1032" s="45"/>
    </row>
    <row r="1033" spans="1:13" ht="15" customHeight="1" x14ac:dyDescent="0.25">
      <c r="A1033" s="175"/>
      <c r="B1033" s="170"/>
      <c r="C1033" s="210"/>
      <c r="D1033" s="170"/>
      <c r="E1033" s="176">
        <f t="shared" si="16"/>
        <v>662274.450000023</v>
      </c>
      <c r="F1033" s="174"/>
      <c r="G1033" s="174"/>
      <c r="H1033" s="174"/>
      <c r="I1033" s="174"/>
      <c r="J1033" s="174"/>
      <c r="K1033" s="66"/>
      <c r="L1033" s="66"/>
      <c r="M1033" s="45"/>
    </row>
    <row r="1034" spans="1:13" ht="15" customHeight="1" x14ac:dyDescent="0.25">
      <c r="A1034" s="175"/>
      <c r="B1034" s="170"/>
      <c r="C1034" s="210"/>
      <c r="D1034" s="170"/>
      <c r="E1034" s="176">
        <f t="shared" si="16"/>
        <v>662274.450000023</v>
      </c>
      <c r="F1034" s="174"/>
      <c r="G1034" s="174"/>
      <c r="H1034" s="174"/>
      <c r="I1034" s="174"/>
      <c r="J1034" s="174"/>
      <c r="K1034" s="66"/>
      <c r="L1034" s="66"/>
      <c r="M1034" s="45"/>
    </row>
    <row r="1035" spans="1:13" ht="15" customHeight="1" x14ac:dyDescent="0.25">
      <c r="A1035" s="175"/>
      <c r="B1035" s="170"/>
      <c r="C1035" s="210"/>
      <c r="D1035" s="170"/>
      <c r="E1035" s="176">
        <f t="shared" si="16"/>
        <v>662274.450000023</v>
      </c>
      <c r="F1035" s="174"/>
      <c r="G1035" s="174"/>
      <c r="H1035" s="174"/>
      <c r="I1035" s="174"/>
      <c r="J1035" s="174"/>
      <c r="K1035" s="66"/>
      <c r="L1035" s="66"/>
      <c r="M1035" s="45"/>
    </row>
    <row r="1036" spans="1:13" ht="15" customHeight="1" x14ac:dyDescent="0.25">
      <c r="A1036" s="175"/>
      <c r="B1036" s="170"/>
      <c r="C1036" s="210"/>
      <c r="D1036" s="170"/>
      <c r="E1036" s="176">
        <f t="shared" si="16"/>
        <v>662274.450000023</v>
      </c>
      <c r="F1036" s="174"/>
      <c r="G1036" s="174"/>
      <c r="H1036" s="174"/>
      <c r="I1036" s="174"/>
      <c r="J1036" s="174"/>
      <c r="K1036" s="66"/>
      <c r="L1036" s="66"/>
      <c r="M1036" s="45"/>
    </row>
    <row r="1037" spans="1:13" ht="15" customHeight="1" x14ac:dyDescent="0.25">
      <c r="A1037" s="175"/>
      <c r="B1037" s="170"/>
      <c r="C1037" s="210"/>
      <c r="D1037" s="170"/>
      <c r="E1037" s="176">
        <f t="shared" si="16"/>
        <v>662274.450000023</v>
      </c>
      <c r="F1037" s="174"/>
      <c r="G1037" s="174"/>
      <c r="H1037" s="174"/>
      <c r="I1037" s="174"/>
      <c r="J1037" s="174"/>
      <c r="K1037" s="66"/>
      <c r="L1037" s="66"/>
      <c r="M1037" s="45"/>
    </row>
    <row r="1038" spans="1:13" ht="15" customHeight="1" x14ac:dyDescent="0.25">
      <c r="A1038" s="175"/>
      <c r="B1038" s="170"/>
      <c r="C1038" s="210"/>
      <c r="D1038" s="170"/>
      <c r="E1038" s="176">
        <f t="shared" si="16"/>
        <v>662274.450000023</v>
      </c>
      <c r="F1038" s="174"/>
      <c r="G1038" s="174"/>
      <c r="H1038" s="174"/>
      <c r="I1038" s="174"/>
      <c r="J1038" s="174"/>
      <c r="K1038" s="66"/>
      <c r="L1038" s="66"/>
      <c r="M1038" s="45"/>
    </row>
    <row r="1039" spans="1:13" ht="15" customHeight="1" x14ac:dyDescent="0.25">
      <c r="A1039" s="175"/>
      <c r="B1039" s="170"/>
      <c r="C1039" s="210"/>
      <c r="D1039" s="170"/>
      <c r="E1039" s="176">
        <f t="shared" si="16"/>
        <v>662274.450000023</v>
      </c>
      <c r="F1039" s="174"/>
      <c r="G1039" s="174"/>
      <c r="H1039" s="174"/>
      <c r="I1039" s="174"/>
      <c r="J1039" s="174"/>
      <c r="K1039" s="66"/>
      <c r="L1039" s="66"/>
      <c r="M1039" s="45"/>
    </row>
    <row r="1040" spans="1:13" ht="15" customHeight="1" x14ac:dyDescent="0.25">
      <c r="A1040" s="175"/>
      <c r="B1040" s="170"/>
      <c r="C1040" s="210"/>
      <c r="D1040" s="170"/>
      <c r="E1040" s="176">
        <f t="shared" si="16"/>
        <v>662274.450000023</v>
      </c>
      <c r="F1040" s="174"/>
      <c r="G1040" s="174"/>
      <c r="H1040" s="174"/>
      <c r="I1040" s="174"/>
      <c r="J1040" s="174"/>
      <c r="K1040" s="66"/>
      <c r="L1040" s="66"/>
      <c r="M1040" s="45"/>
    </row>
    <row r="1041" spans="1:13" ht="15" customHeight="1" x14ac:dyDescent="0.25">
      <c r="A1041" s="175"/>
      <c r="B1041" s="170"/>
      <c r="C1041" s="210"/>
      <c r="D1041" s="170"/>
      <c r="E1041" s="176">
        <f t="shared" si="16"/>
        <v>662274.450000023</v>
      </c>
      <c r="F1041" s="204"/>
      <c r="G1041" s="181"/>
      <c r="H1041" s="205"/>
      <c r="I1041" s="181"/>
      <c r="J1041" s="206"/>
      <c r="K1041" s="66"/>
      <c r="L1041" s="66"/>
      <c r="M1041" s="45"/>
    </row>
    <row r="1042" spans="1:13" ht="15" customHeight="1" x14ac:dyDescent="0.25">
      <c r="A1042" s="175"/>
      <c r="B1042" s="170"/>
      <c r="C1042" s="210"/>
      <c r="D1042" s="170"/>
      <c r="E1042" s="176">
        <f t="shared" si="16"/>
        <v>662274.450000023</v>
      </c>
      <c r="F1042" s="174"/>
      <c r="G1042" s="174"/>
      <c r="H1042" s="174"/>
      <c r="I1042" s="174"/>
      <c r="J1042" s="174"/>
      <c r="K1042" s="66"/>
      <c r="L1042" s="66"/>
      <c r="M1042" s="45"/>
    </row>
    <row r="1043" spans="1:13" ht="15" customHeight="1" x14ac:dyDescent="0.25">
      <c r="A1043" s="175"/>
      <c r="B1043" s="170"/>
      <c r="C1043" s="210"/>
      <c r="D1043" s="170"/>
      <c r="E1043" s="176">
        <f t="shared" si="16"/>
        <v>662274.450000023</v>
      </c>
      <c r="F1043" s="174"/>
      <c r="G1043" s="174"/>
      <c r="H1043" s="174"/>
      <c r="I1043" s="174"/>
      <c r="J1043" s="174"/>
      <c r="K1043" s="66"/>
      <c r="L1043" s="66"/>
      <c r="M1043" s="45"/>
    </row>
    <row r="1044" spans="1:13" ht="15" customHeight="1" x14ac:dyDescent="0.25">
      <c r="A1044" s="175"/>
      <c r="B1044" s="170"/>
      <c r="C1044" s="210"/>
      <c r="D1044" s="170"/>
      <c r="E1044" s="176">
        <f t="shared" si="16"/>
        <v>662274.450000023</v>
      </c>
      <c r="F1044" s="174"/>
      <c r="G1044" s="174"/>
      <c r="H1044" s="174"/>
      <c r="I1044" s="174"/>
      <c r="J1044" s="174"/>
      <c r="K1044" s="66"/>
      <c r="L1044" s="66"/>
      <c r="M1044" s="45"/>
    </row>
    <row r="1045" spans="1:13" ht="15" customHeight="1" x14ac:dyDescent="0.25">
      <c r="A1045" s="175"/>
      <c r="B1045" s="170"/>
      <c r="C1045" s="210"/>
      <c r="D1045" s="170"/>
      <c r="E1045" s="176">
        <f t="shared" si="16"/>
        <v>662274.450000023</v>
      </c>
      <c r="F1045" s="174"/>
      <c r="G1045" s="174"/>
      <c r="H1045" s="174"/>
      <c r="I1045" s="174"/>
      <c r="J1045" s="174"/>
      <c r="K1045" s="66"/>
      <c r="L1045" s="66"/>
      <c r="M1045" s="45"/>
    </row>
    <row r="1046" spans="1:13" ht="15" customHeight="1" x14ac:dyDescent="0.25">
      <c r="A1046" s="175"/>
      <c r="B1046" s="170"/>
      <c r="C1046" s="170"/>
      <c r="D1046" s="169"/>
      <c r="E1046" s="176">
        <f t="shared" si="16"/>
        <v>662274.450000023</v>
      </c>
      <c r="F1046" s="174"/>
      <c r="G1046" s="174"/>
      <c r="H1046" s="174"/>
      <c r="I1046" s="174"/>
      <c r="J1046" s="174"/>
      <c r="K1046" s="66"/>
      <c r="L1046" s="66"/>
      <c r="M1046" s="45"/>
    </row>
    <row r="1047" spans="1:13" ht="15" customHeight="1" x14ac:dyDescent="0.25">
      <c r="A1047" s="175"/>
      <c r="B1047" s="170"/>
      <c r="C1047" s="210"/>
      <c r="D1047" s="170"/>
      <c r="E1047" s="176">
        <f t="shared" si="16"/>
        <v>662274.450000023</v>
      </c>
      <c r="F1047" s="174"/>
      <c r="G1047" s="174"/>
      <c r="H1047" s="174"/>
      <c r="I1047" s="174"/>
      <c r="J1047" s="174"/>
      <c r="K1047" s="66"/>
      <c r="L1047" s="66"/>
      <c r="M1047" s="45"/>
    </row>
    <row r="1048" spans="1:13" ht="15" customHeight="1" x14ac:dyDescent="0.25">
      <c r="A1048" s="175"/>
      <c r="B1048" s="170"/>
      <c r="C1048" s="170"/>
      <c r="D1048" s="210"/>
      <c r="E1048" s="176">
        <f t="shared" si="16"/>
        <v>662274.450000023</v>
      </c>
      <c r="F1048" s="173"/>
      <c r="G1048" s="174"/>
      <c r="H1048" s="177"/>
      <c r="I1048" s="197"/>
      <c r="J1048" s="174"/>
      <c r="K1048" s="66"/>
      <c r="L1048" s="66"/>
      <c r="M1048" s="45"/>
    </row>
    <row r="1049" spans="1:13" ht="15" customHeight="1" x14ac:dyDescent="0.25">
      <c r="A1049" s="175"/>
      <c r="B1049" s="170"/>
      <c r="C1049" s="170"/>
      <c r="D1049" s="210"/>
      <c r="E1049" s="176">
        <f t="shared" si="16"/>
        <v>662274.450000023</v>
      </c>
      <c r="F1049" s="174"/>
      <c r="G1049" s="174"/>
      <c r="H1049" s="174"/>
      <c r="I1049" s="174"/>
      <c r="J1049" s="174"/>
      <c r="K1049" s="66"/>
      <c r="L1049" s="66"/>
      <c r="M1049" s="45"/>
    </row>
    <row r="1050" spans="1:13" ht="15" customHeight="1" x14ac:dyDescent="0.25">
      <c r="A1050" s="175"/>
      <c r="B1050" s="170"/>
      <c r="C1050" s="170"/>
      <c r="D1050" s="210"/>
      <c r="E1050" s="176">
        <f t="shared" si="16"/>
        <v>662274.450000023</v>
      </c>
      <c r="F1050" s="174"/>
      <c r="G1050" s="174"/>
      <c r="H1050" s="174"/>
      <c r="I1050" s="174"/>
      <c r="J1050" s="174"/>
      <c r="K1050" s="66"/>
      <c r="L1050" s="66"/>
      <c r="M1050" s="45"/>
    </row>
    <row r="1051" spans="1:13" ht="15" customHeight="1" x14ac:dyDescent="0.25">
      <c r="A1051" s="175"/>
      <c r="B1051" s="170"/>
      <c r="C1051" s="170"/>
      <c r="D1051" s="210"/>
      <c r="E1051" s="176">
        <f t="shared" si="16"/>
        <v>662274.450000023</v>
      </c>
      <c r="F1051" s="174"/>
      <c r="G1051" s="174"/>
      <c r="H1051" s="174"/>
      <c r="I1051" s="174"/>
      <c r="J1051" s="174"/>
      <c r="K1051" s="66"/>
      <c r="L1051" s="66"/>
      <c r="M1051" s="45"/>
    </row>
    <row r="1052" spans="1:13" ht="15" customHeight="1" x14ac:dyDescent="0.25">
      <c r="A1052" s="175"/>
      <c r="B1052" s="170"/>
      <c r="C1052" s="170"/>
      <c r="D1052" s="210"/>
      <c r="E1052" s="176">
        <f t="shared" si="16"/>
        <v>662274.450000023</v>
      </c>
      <c r="F1052" s="173"/>
      <c r="G1052" s="174"/>
      <c r="H1052" s="177"/>
      <c r="I1052" s="197"/>
      <c r="J1052" s="174"/>
      <c r="K1052" s="66"/>
      <c r="L1052" s="66"/>
      <c r="M1052" s="45"/>
    </row>
    <row r="1053" spans="1:13" ht="15" customHeight="1" x14ac:dyDescent="0.25">
      <c r="A1053" s="175"/>
      <c r="B1053" s="170"/>
      <c r="C1053" s="210"/>
      <c r="D1053" s="170"/>
      <c r="E1053" s="176">
        <f t="shared" si="16"/>
        <v>662274.450000023</v>
      </c>
      <c r="F1053" s="174"/>
      <c r="G1053" s="174"/>
      <c r="H1053" s="174"/>
      <c r="I1053" s="174"/>
      <c r="J1053" s="174"/>
      <c r="K1053" s="66"/>
      <c r="L1053" s="66"/>
      <c r="M1053" s="45"/>
    </row>
    <row r="1054" spans="1:13" ht="15" customHeight="1" x14ac:dyDescent="0.25">
      <c r="A1054" s="175"/>
      <c r="B1054" s="170"/>
      <c r="C1054" s="210"/>
      <c r="D1054" s="170"/>
      <c r="E1054" s="176">
        <f t="shared" si="16"/>
        <v>662274.450000023</v>
      </c>
      <c r="F1054" s="174"/>
      <c r="G1054" s="174"/>
      <c r="H1054" s="174"/>
      <c r="I1054" s="174"/>
      <c r="J1054" s="174"/>
      <c r="K1054" s="66"/>
      <c r="L1054" s="66"/>
      <c r="M1054" s="45"/>
    </row>
    <row r="1055" spans="1:13" ht="15" customHeight="1" x14ac:dyDescent="0.25">
      <c r="A1055" s="175"/>
      <c r="B1055" s="170"/>
      <c r="C1055" s="210"/>
      <c r="D1055" s="170"/>
      <c r="E1055" s="176">
        <f t="shared" si="16"/>
        <v>662274.450000023</v>
      </c>
      <c r="F1055" s="174"/>
      <c r="G1055" s="174"/>
      <c r="H1055" s="174"/>
      <c r="I1055" s="174"/>
      <c r="J1055" s="174"/>
      <c r="K1055" s="66"/>
      <c r="L1055" s="66"/>
      <c r="M1055" s="45"/>
    </row>
    <row r="1056" spans="1:13" ht="15" customHeight="1" x14ac:dyDescent="0.25">
      <c r="A1056" s="175"/>
      <c r="B1056" s="170"/>
      <c r="C1056" s="210"/>
      <c r="D1056" s="170"/>
      <c r="E1056" s="176">
        <f t="shared" si="16"/>
        <v>662274.450000023</v>
      </c>
      <c r="F1056" s="204"/>
      <c r="G1056" s="181"/>
      <c r="H1056" s="205"/>
      <c r="I1056" s="181"/>
      <c r="J1056" s="206"/>
      <c r="K1056" s="66"/>
      <c r="L1056" s="66"/>
      <c r="M1056" s="45"/>
    </row>
    <row r="1057" spans="1:10" ht="15" customHeight="1" x14ac:dyDescent="0.25">
      <c r="A1057" s="175"/>
      <c r="B1057" s="170"/>
      <c r="C1057" s="210"/>
      <c r="D1057" s="170"/>
      <c r="E1057" s="176">
        <f t="shared" si="16"/>
        <v>662274.450000023</v>
      </c>
      <c r="F1057" s="218"/>
      <c r="G1057" s="219"/>
      <c r="H1057" s="220"/>
      <c r="I1057" s="219"/>
      <c r="J1057" s="209"/>
    </row>
    <row r="1058" spans="1:10" ht="15" customHeight="1" x14ac:dyDescent="0.25">
      <c r="A1058" s="175"/>
      <c r="B1058" s="170"/>
      <c r="C1058" s="210"/>
      <c r="D1058" s="170"/>
      <c r="E1058" s="176">
        <f t="shared" si="16"/>
        <v>662274.450000023</v>
      </c>
      <c r="F1058" s="173"/>
      <c r="G1058" s="199"/>
      <c r="H1058" s="192"/>
      <c r="I1058" s="197"/>
      <c r="J1058" s="179"/>
    </row>
    <row r="1059" spans="1:10" ht="15" customHeight="1" x14ac:dyDescent="0.25">
      <c r="A1059" s="175"/>
      <c r="B1059" s="170"/>
      <c r="C1059" s="210"/>
      <c r="D1059" s="170"/>
      <c r="E1059" s="176">
        <f t="shared" si="16"/>
        <v>662274.450000023</v>
      </c>
      <c r="F1059" s="173"/>
      <c r="G1059" s="199"/>
      <c r="H1059" s="192"/>
      <c r="I1059" s="197"/>
      <c r="J1059" s="179"/>
    </row>
    <row r="1060" spans="1:10" ht="15" customHeight="1" x14ac:dyDescent="0.25">
      <c r="A1060" s="175"/>
      <c r="B1060" s="170"/>
      <c r="C1060" s="210"/>
      <c r="D1060" s="170"/>
      <c r="E1060" s="176">
        <f t="shared" si="16"/>
        <v>662274.450000023</v>
      </c>
      <c r="F1060" s="179"/>
      <c r="G1060" s="179"/>
      <c r="H1060" s="179"/>
      <c r="I1060" s="179"/>
      <c r="J1060" s="179"/>
    </row>
    <row r="1061" spans="1:10" ht="15" customHeight="1" x14ac:dyDescent="0.25">
      <c r="A1061" s="175"/>
      <c r="B1061" s="170"/>
      <c r="C1061" s="210"/>
      <c r="D1061" s="170"/>
      <c r="E1061" s="176">
        <f t="shared" si="16"/>
        <v>662274.450000023</v>
      </c>
      <c r="F1061" s="221"/>
      <c r="G1061" s="174"/>
      <c r="H1061" s="192"/>
      <c r="I1061" s="222"/>
      <c r="J1061" s="179"/>
    </row>
    <row r="1062" spans="1:10" ht="15" customHeight="1" x14ac:dyDescent="0.25">
      <c r="A1062" s="175"/>
      <c r="B1062" s="170"/>
      <c r="C1062" s="210"/>
      <c r="D1062" s="170"/>
      <c r="E1062" s="176">
        <f t="shared" si="16"/>
        <v>662274.450000023</v>
      </c>
      <c r="F1062" s="179"/>
      <c r="G1062" s="179"/>
      <c r="H1062" s="179"/>
      <c r="I1062" s="179"/>
      <c r="J1062" s="179"/>
    </row>
    <row r="1063" spans="1:10" ht="15" customHeight="1" x14ac:dyDescent="0.25">
      <c r="A1063" s="175"/>
      <c r="B1063" s="170"/>
      <c r="C1063" s="210"/>
      <c r="D1063" s="170"/>
      <c r="E1063" s="176">
        <f t="shared" si="16"/>
        <v>662274.450000023</v>
      </c>
      <c r="F1063" s="179"/>
      <c r="G1063" s="179"/>
      <c r="H1063" s="179"/>
      <c r="I1063" s="179"/>
      <c r="J1063" s="179"/>
    </row>
    <row r="1064" spans="1:10" ht="15" customHeight="1" x14ac:dyDescent="0.25">
      <c r="A1064" s="175"/>
      <c r="B1064" s="170"/>
      <c r="C1064" s="210"/>
      <c r="D1064" s="170"/>
      <c r="E1064" s="176">
        <f t="shared" si="16"/>
        <v>662274.450000023</v>
      </c>
      <c r="F1064" s="179"/>
      <c r="G1064" s="179"/>
      <c r="H1064" s="179"/>
      <c r="I1064" s="179"/>
      <c r="J1064" s="179"/>
    </row>
    <row r="1065" spans="1:10" ht="15" customHeight="1" x14ac:dyDescent="0.25">
      <c r="A1065" s="175"/>
      <c r="B1065" s="170"/>
      <c r="C1065" s="210"/>
      <c r="D1065" s="170"/>
      <c r="E1065" s="176">
        <f t="shared" si="16"/>
        <v>662274.450000023</v>
      </c>
      <c r="F1065" s="179"/>
      <c r="G1065" s="179"/>
      <c r="H1065" s="179"/>
      <c r="I1065" s="179"/>
      <c r="J1065" s="179"/>
    </row>
    <row r="1066" spans="1:10" ht="15" customHeight="1" x14ac:dyDescent="0.25">
      <c r="A1066" s="175"/>
      <c r="B1066" s="170"/>
      <c r="C1066" s="210"/>
      <c r="D1066" s="170"/>
      <c r="E1066" s="176">
        <f t="shared" si="16"/>
        <v>662274.450000023</v>
      </c>
      <c r="F1066" s="179"/>
      <c r="G1066" s="179"/>
      <c r="H1066" s="179"/>
      <c r="I1066" s="179"/>
      <c r="J1066" s="179"/>
    </row>
    <row r="1067" spans="1:10" ht="15" customHeight="1" x14ac:dyDescent="0.25">
      <c r="A1067" s="175"/>
      <c r="B1067" s="170"/>
      <c r="C1067" s="210"/>
      <c r="D1067" s="170"/>
      <c r="E1067" s="176">
        <f t="shared" si="16"/>
        <v>662274.450000023</v>
      </c>
      <c r="F1067" s="179"/>
      <c r="G1067" s="179"/>
      <c r="H1067" s="179"/>
      <c r="I1067" s="179"/>
      <c r="J1067" s="179"/>
    </row>
    <row r="1068" spans="1:10" ht="15" customHeight="1" x14ac:dyDescent="0.25">
      <c r="A1068" s="175"/>
      <c r="B1068" s="170"/>
      <c r="C1068" s="210"/>
      <c r="D1068" s="170"/>
      <c r="E1068" s="176">
        <f t="shared" si="16"/>
        <v>662274.450000023</v>
      </c>
      <c r="F1068" s="179"/>
      <c r="G1068" s="179"/>
      <c r="H1068" s="179"/>
      <c r="I1068" s="179"/>
      <c r="J1068" s="179"/>
    </row>
    <row r="1069" spans="1:10" ht="15" customHeight="1" x14ac:dyDescent="0.25">
      <c r="A1069" s="175"/>
      <c r="B1069" s="170"/>
      <c r="C1069" s="210"/>
      <c r="D1069" s="170"/>
      <c r="E1069" s="176">
        <f t="shared" si="16"/>
        <v>662274.450000023</v>
      </c>
      <c r="F1069" s="179"/>
      <c r="G1069" s="179"/>
      <c r="H1069" s="179"/>
      <c r="I1069" s="179"/>
      <c r="J1069" s="179"/>
    </row>
    <row r="1070" spans="1:10" ht="15" customHeight="1" x14ac:dyDescent="0.25">
      <c r="A1070" s="175"/>
      <c r="B1070" s="170"/>
      <c r="C1070" s="210"/>
      <c r="D1070" s="170"/>
      <c r="E1070" s="176">
        <f t="shared" si="16"/>
        <v>662274.450000023</v>
      </c>
      <c r="F1070" s="179"/>
      <c r="G1070" s="179"/>
      <c r="H1070" s="179"/>
      <c r="I1070" s="179"/>
      <c r="J1070" s="179"/>
    </row>
    <row r="1071" spans="1:10" ht="15" customHeight="1" x14ac:dyDescent="0.25">
      <c r="A1071" s="175"/>
      <c r="B1071" s="170"/>
      <c r="C1071" s="210"/>
      <c r="D1071" s="170"/>
      <c r="E1071" s="176">
        <f t="shared" si="16"/>
        <v>662274.450000023</v>
      </c>
      <c r="F1071" s="179"/>
      <c r="G1071" s="179"/>
      <c r="H1071" s="179"/>
      <c r="I1071" s="179"/>
      <c r="J1071" s="179"/>
    </row>
    <row r="1072" spans="1:10" ht="15" customHeight="1" x14ac:dyDescent="0.25">
      <c r="A1072" s="175"/>
      <c r="B1072" s="170"/>
      <c r="C1072" s="210"/>
      <c r="D1072" s="170"/>
      <c r="E1072" s="176">
        <f t="shared" si="16"/>
        <v>662274.450000023</v>
      </c>
      <c r="F1072" s="179"/>
      <c r="G1072" s="179"/>
      <c r="H1072" s="179"/>
      <c r="I1072" s="179"/>
      <c r="J1072" s="179"/>
    </row>
    <row r="1073" spans="1:10" ht="15" customHeight="1" x14ac:dyDescent="0.25">
      <c r="A1073" s="175"/>
      <c r="B1073" s="170"/>
      <c r="C1073" s="210"/>
      <c r="D1073" s="170"/>
      <c r="E1073" s="176">
        <f t="shared" si="16"/>
        <v>662274.450000023</v>
      </c>
      <c r="F1073" s="179"/>
      <c r="G1073" s="179"/>
      <c r="H1073" s="179"/>
      <c r="I1073" s="179"/>
      <c r="J1073" s="179"/>
    </row>
    <row r="1074" spans="1:10" ht="15" customHeight="1" x14ac:dyDescent="0.25">
      <c r="A1074" s="175"/>
      <c r="B1074" s="170"/>
      <c r="C1074" s="210"/>
      <c r="D1074" s="170"/>
      <c r="E1074" s="176">
        <f t="shared" si="16"/>
        <v>662274.450000023</v>
      </c>
      <c r="F1074" s="179"/>
      <c r="G1074" s="179"/>
      <c r="H1074" s="179"/>
      <c r="I1074" s="179"/>
      <c r="J1074" s="179"/>
    </row>
    <row r="1075" spans="1:10" ht="15" customHeight="1" x14ac:dyDescent="0.25">
      <c r="A1075" s="175"/>
      <c r="B1075" s="170"/>
      <c r="C1075" s="210"/>
      <c r="D1075" s="170"/>
      <c r="E1075" s="176">
        <f t="shared" si="16"/>
        <v>662274.450000023</v>
      </c>
      <c r="F1075" s="204"/>
      <c r="G1075" s="181"/>
      <c r="H1075" s="205"/>
      <c r="I1075" s="181"/>
      <c r="J1075" s="217"/>
    </row>
    <row r="1076" spans="1:10" ht="15" customHeight="1" x14ac:dyDescent="0.25">
      <c r="A1076" s="175"/>
      <c r="B1076" s="170"/>
      <c r="C1076" s="210"/>
      <c r="D1076" s="170"/>
      <c r="E1076" s="176">
        <f t="shared" si="16"/>
        <v>662274.450000023</v>
      </c>
      <c r="F1076" s="179"/>
      <c r="G1076" s="179"/>
      <c r="H1076" s="179"/>
      <c r="I1076" s="179"/>
      <c r="J1076" s="179"/>
    </row>
    <row r="1077" spans="1:10" ht="15" customHeight="1" x14ac:dyDescent="0.25">
      <c r="A1077" s="175"/>
      <c r="B1077" s="170"/>
      <c r="C1077" s="210"/>
      <c r="D1077" s="170"/>
      <c r="E1077" s="176">
        <f t="shared" si="16"/>
        <v>662274.450000023</v>
      </c>
      <c r="F1077" s="179"/>
      <c r="G1077" s="179"/>
      <c r="H1077" s="179"/>
      <c r="I1077" s="179"/>
      <c r="J1077" s="179"/>
    </row>
    <row r="1078" spans="1:10" ht="15" customHeight="1" x14ac:dyDescent="0.25">
      <c r="A1078" s="175"/>
      <c r="B1078" s="170"/>
      <c r="C1078" s="210"/>
      <c r="D1078" s="170"/>
      <c r="E1078" s="176">
        <f t="shared" si="16"/>
        <v>662274.450000023</v>
      </c>
      <c r="F1078" s="179"/>
      <c r="G1078" s="179"/>
      <c r="H1078" s="179"/>
      <c r="I1078" s="179"/>
      <c r="J1078" s="179"/>
    </row>
    <row r="1079" spans="1:10" ht="15" customHeight="1" x14ac:dyDescent="0.25">
      <c r="A1079" s="175"/>
      <c r="B1079" s="170"/>
      <c r="C1079" s="210"/>
      <c r="D1079" s="170"/>
      <c r="E1079" s="176">
        <f t="shared" si="16"/>
        <v>662274.450000023</v>
      </c>
      <c r="F1079" s="204"/>
      <c r="G1079" s="181"/>
      <c r="H1079" s="205"/>
      <c r="I1079" s="181"/>
      <c r="J1079" s="206"/>
    </row>
    <row r="1080" spans="1:10" ht="15" customHeight="1" x14ac:dyDescent="0.25">
      <c r="A1080" s="175"/>
      <c r="B1080" s="170"/>
      <c r="C1080" s="210"/>
      <c r="D1080" s="170"/>
      <c r="E1080" s="176">
        <f t="shared" si="16"/>
        <v>662274.450000023</v>
      </c>
      <c r="F1080" s="179"/>
      <c r="G1080" s="179"/>
      <c r="H1080" s="179"/>
      <c r="I1080" s="179"/>
      <c r="J1080" s="179"/>
    </row>
    <row r="1081" spans="1:10" ht="15" customHeight="1" x14ac:dyDescent="0.25">
      <c r="A1081" s="175"/>
      <c r="B1081" s="170"/>
      <c r="C1081" s="210"/>
      <c r="D1081" s="170"/>
      <c r="E1081" s="176">
        <f t="shared" si="16"/>
        <v>662274.450000023</v>
      </c>
      <c r="F1081" s="179"/>
      <c r="G1081" s="179"/>
      <c r="H1081" s="179"/>
      <c r="I1081" s="179"/>
      <c r="J1081" s="179"/>
    </row>
    <row r="1082" spans="1:10" ht="15" customHeight="1" x14ac:dyDescent="0.25">
      <c r="A1082" s="175"/>
      <c r="B1082" s="170"/>
      <c r="C1082" s="210"/>
      <c r="D1082" s="170"/>
      <c r="E1082" s="176">
        <f t="shared" si="16"/>
        <v>662274.450000023</v>
      </c>
      <c r="F1082" s="179"/>
      <c r="G1082" s="179"/>
      <c r="H1082" s="179"/>
      <c r="I1082" s="179"/>
      <c r="J1082" s="179"/>
    </row>
    <row r="1083" spans="1:10" ht="15" customHeight="1" x14ac:dyDescent="0.25">
      <c r="A1083" s="175"/>
      <c r="B1083" s="170"/>
      <c r="C1083" s="210"/>
      <c r="D1083" s="170"/>
      <c r="E1083" s="176">
        <f t="shared" si="16"/>
        <v>662274.450000023</v>
      </c>
      <c r="F1083" s="179"/>
      <c r="G1083" s="179"/>
      <c r="H1083" s="179"/>
      <c r="I1083" s="179"/>
      <c r="J1083" s="179"/>
    </row>
    <row r="1084" spans="1:10" ht="15" customHeight="1" x14ac:dyDescent="0.25">
      <c r="A1084" s="175"/>
      <c r="B1084" s="170"/>
      <c r="C1084" s="210"/>
      <c r="D1084" s="170"/>
      <c r="E1084" s="176">
        <f t="shared" si="16"/>
        <v>662274.450000023</v>
      </c>
      <c r="F1084" s="179"/>
      <c r="G1084" s="179"/>
      <c r="H1084" s="179"/>
      <c r="I1084" s="179"/>
      <c r="J1084" s="179"/>
    </row>
    <row r="1085" spans="1:10" ht="15" customHeight="1" x14ac:dyDescent="0.25">
      <c r="A1085" s="175"/>
      <c r="B1085" s="170"/>
      <c r="C1085" s="210"/>
      <c r="D1085" s="170"/>
      <c r="E1085" s="176">
        <f t="shared" si="16"/>
        <v>662274.450000023</v>
      </c>
      <c r="F1085" s="179"/>
      <c r="G1085" s="179"/>
      <c r="H1085" s="179"/>
      <c r="I1085" s="179"/>
      <c r="J1085" s="179"/>
    </row>
    <row r="1086" spans="1:10" ht="15" customHeight="1" x14ac:dyDescent="0.25">
      <c r="A1086" s="175"/>
      <c r="B1086" s="170"/>
      <c r="C1086" s="210"/>
      <c r="D1086" s="170"/>
      <c r="E1086" s="176">
        <f t="shared" si="16"/>
        <v>662274.450000023</v>
      </c>
      <c r="F1086" s="179"/>
      <c r="G1086" s="179"/>
      <c r="H1086" s="179"/>
      <c r="I1086" s="179"/>
      <c r="J1086" s="179"/>
    </row>
    <row r="1087" spans="1:10" ht="15" customHeight="1" x14ac:dyDescent="0.25">
      <c r="A1087" s="175"/>
      <c r="B1087" s="170"/>
      <c r="C1087" s="210"/>
      <c r="D1087" s="170"/>
      <c r="E1087" s="176">
        <f t="shared" si="16"/>
        <v>662274.450000023</v>
      </c>
      <c r="F1087" s="179"/>
      <c r="G1087" s="179"/>
      <c r="H1087" s="179"/>
      <c r="I1087" s="179"/>
      <c r="J1087" s="179"/>
    </row>
    <row r="1088" spans="1:10" ht="15" customHeight="1" x14ac:dyDescent="0.25">
      <c r="A1088" s="175"/>
      <c r="B1088" s="170"/>
      <c r="C1088" s="169"/>
      <c r="D1088" s="170"/>
      <c r="E1088" s="176">
        <f t="shared" si="16"/>
        <v>662274.450000023</v>
      </c>
      <c r="F1088" s="179"/>
      <c r="G1088" s="179"/>
      <c r="H1088" s="179"/>
      <c r="I1088" s="179"/>
      <c r="J1088" s="179"/>
    </row>
    <row r="1089" spans="1:12" ht="15" customHeight="1" x14ac:dyDescent="0.25">
      <c r="A1089" s="175"/>
      <c r="B1089" s="170"/>
      <c r="C1089" s="169"/>
      <c r="D1089" s="170"/>
      <c r="E1089" s="176">
        <f t="shared" si="16"/>
        <v>662274.450000023</v>
      </c>
      <c r="F1089" s="179"/>
      <c r="G1089" s="179"/>
      <c r="H1089" s="179"/>
      <c r="I1089" s="179"/>
      <c r="J1089" s="179"/>
    </row>
    <row r="1090" spans="1:12" ht="15" customHeight="1" x14ac:dyDescent="0.25">
      <c r="A1090" s="175"/>
      <c r="B1090" s="170"/>
      <c r="C1090" s="210"/>
      <c r="D1090" s="170"/>
      <c r="E1090" s="176">
        <f t="shared" si="16"/>
        <v>662274.450000023</v>
      </c>
      <c r="F1090" s="204"/>
      <c r="G1090" s="181"/>
      <c r="H1090" s="205"/>
      <c r="I1090" s="181"/>
      <c r="J1090" s="217"/>
    </row>
    <row r="1091" spans="1:12" ht="15" customHeight="1" x14ac:dyDescent="0.25">
      <c r="A1091" s="175"/>
      <c r="B1091" s="170"/>
      <c r="C1091" s="169"/>
      <c r="D1091" s="170"/>
      <c r="E1091" s="176">
        <f t="shared" si="16"/>
        <v>662274.450000023</v>
      </c>
      <c r="F1091" s="173"/>
      <c r="G1091" s="199"/>
      <c r="H1091" s="203"/>
      <c r="I1091" s="222"/>
      <c r="J1091" s="174"/>
      <c r="K1091" s="67"/>
      <c r="L1091" s="66"/>
    </row>
    <row r="1092" spans="1:12" ht="15" customHeight="1" x14ac:dyDescent="0.25">
      <c r="A1092" s="175"/>
      <c r="B1092" s="170"/>
      <c r="C1092" s="169"/>
      <c r="D1092" s="170"/>
      <c r="E1092" s="176">
        <f t="shared" si="16"/>
        <v>662274.450000023</v>
      </c>
      <c r="F1092" s="179"/>
      <c r="G1092" s="179"/>
      <c r="H1092" s="179"/>
      <c r="I1092" s="179"/>
      <c r="J1092" s="179"/>
    </row>
    <row r="1093" spans="1:12" ht="15" customHeight="1" x14ac:dyDescent="0.25">
      <c r="A1093" s="175"/>
      <c r="B1093" s="170"/>
      <c r="C1093" s="210"/>
      <c r="D1093" s="170"/>
      <c r="E1093" s="176">
        <f t="shared" si="16"/>
        <v>662274.450000023</v>
      </c>
      <c r="F1093" s="221"/>
      <c r="G1093" s="174"/>
      <c r="H1093" s="192"/>
      <c r="I1093" s="222"/>
      <c r="J1093" s="179"/>
    </row>
    <row r="1094" spans="1:12" ht="15" customHeight="1" x14ac:dyDescent="0.25">
      <c r="A1094" s="175"/>
      <c r="B1094" s="170"/>
      <c r="C1094" s="169"/>
      <c r="D1094" s="170"/>
      <c r="E1094" s="176">
        <f t="shared" si="16"/>
        <v>662274.450000023</v>
      </c>
      <c r="F1094" s="179"/>
      <c r="G1094" s="179"/>
      <c r="H1094" s="179"/>
      <c r="I1094" s="179"/>
      <c r="J1094" s="179"/>
    </row>
    <row r="1095" spans="1:12" ht="15" customHeight="1" x14ac:dyDescent="0.25">
      <c r="A1095" s="175"/>
      <c r="B1095" s="170"/>
      <c r="C1095" s="169"/>
      <c r="D1095" s="170"/>
      <c r="E1095" s="176">
        <f t="shared" si="16"/>
        <v>662274.450000023</v>
      </c>
      <c r="F1095" s="173"/>
      <c r="G1095" s="199"/>
      <c r="H1095" s="203"/>
      <c r="I1095" s="222"/>
      <c r="J1095" s="179"/>
    </row>
    <row r="1096" spans="1:12" ht="15" customHeight="1" x14ac:dyDescent="0.25">
      <c r="A1096" s="175"/>
      <c r="B1096" s="170"/>
      <c r="C1096" s="210"/>
      <c r="D1096" s="170"/>
      <c r="E1096" s="176">
        <f t="shared" ref="E1096:E1159" si="17">E1095-C1096+D1096</f>
        <v>662274.450000023</v>
      </c>
      <c r="F1096" s="218"/>
      <c r="G1096" s="219"/>
      <c r="H1096" s="220"/>
      <c r="I1096" s="219"/>
      <c r="J1096" s="209"/>
    </row>
    <row r="1097" spans="1:12" ht="15" customHeight="1" x14ac:dyDescent="0.25">
      <c r="A1097" s="175"/>
      <c r="B1097" s="170"/>
      <c r="C1097" s="169"/>
      <c r="D1097" s="170"/>
      <c r="E1097" s="176">
        <f t="shared" si="17"/>
        <v>662274.450000023</v>
      </c>
      <c r="F1097" s="179"/>
      <c r="G1097" s="179"/>
      <c r="H1097" s="179"/>
      <c r="I1097" s="179"/>
      <c r="J1097" s="179"/>
    </row>
    <row r="1098" spans="1:12" ht="15" customHeight="1" x14ac:dyDescent="0.25">
      <c r="A1098" s="175"/>
      <c r="B1098" s="170"/>
      <c r="C1098" s="169"/>
      <c r="D1098" s="170"/>
      <c r="E1098" s="176">
        <f t="shared" si="17"/>
        <v>662274.450000023</v>
      </c>
      <c r="F1098" s="179"/>
      <c r="G1098" s="179"/>
      <c r="H1098" s="179"/>
      <c r="I1098" s="179"/>
      <c r="J1098" s="179"/>
    </row>
    <row r="1099" spans="1:12" ht="15" customHeight="1" x14ac:dyDescent="0.25">
      <c r="A1099" s="175"/>
      <c r="B1099" s="170"/>
      <c r="C1099" s="210"/>
      <c r="D1099" s="170"/>
      <c r="E1099" s="176">
        <f t="shared" si="17"/>
        <v>662274.450000023</v>
      </c>
      <c r="F1099" s="179"/>
      <c r="G1099" s="179"/>
      <c r="H1099" s="179"/>
      <c r="I1099" s="179"/>
      <c r="J1099" s="179"/>
    </row>
    <row r="1100" spans="1:12" ht="15" customHeight="1" x14ac:dyDescent="0.25">
      <c r="A1100" s="175"/>
      <c r="B1100" s="170"/>
      <c r="C1100" s="169"/>
      <c r="D1100" s="170"/>
      <c r="E1100" s="176">
        <f t="shared" si="17"/>
        <v>662274.450000023</v>
      </c>
      <c r="F1100" s="221"/>
      <c r="G1100" s="174"/>
      <c r="H1100" s="192"/>
      <c r="I1100" s="222"/>
      <c r="J1100" s="179"/>
    </row>
    <row r="1101" spans="1:12" ht="15" customHeight="1" x14ac:dyDescent="0.25">
      <c r="A1101" s="175"/>
      <c r="B1101" s="170"/>
      <c r="C1101" s="169"/>
      <c r="D1101" s="170"/>
      <c r="E1101" s="176">
        <f t="shared" si="17"/>
        <v>662274.450000023</v>
      </c>
      <c r="F1101" s="221"/>
      <c r="G1101" s="174"/>
      <c r="H1101" s="192"/>
      <c r="I1101" s="222"/>
      <c r="J1101" s="179"/>
    </row>
    <row r="1102" spans="1:12" ht="15" customHeight="1" x14ac:dyDescent="0.25">
      <c r="A1102" s="175"/>
      <c r="B1102" s="170"/>
      <c r="C1102" s="210"/>
      <c r="D1102" s="170"/>
      <c r="E1102" s="176">
        <f t="shared" si="17"/>
        <v>662274.450000023</v>
      </c>
      <c r="F1102" s="179"/>
      <c r="G1102" s="179"/>
      <c r="H1102" s="179"/>
      <c r="I1102" s="179"/>
      <c r="J1102" s="179"/>
    </row>
    <row r="1103" spans="1:12" ht="15" customHeight="1" x14ac:dyDescent="0.25">
      <c r="A1103" s="175"/>
      <c r="B1103" s="170"/>
      <c r="C1103" s="169"/>
      <c r="D1103" s="170"/>
      <c r="E1103" s="176">
        <f t="shared" si="17"/>
        <v>662274.450000023</v>
      </c>
      <c r="F1103" s="179"/>
      <c r="G1103" s="179"/>
      <c r="H1103" s="179"/>
      <c r="I1103" s="179"/>
      <c r="J1103" s="179"/>
    </row>
    <row r="1104" spans="1:12" ht="15" customHeight="1" x14ac:dyDescent="0.25">
      <c r="A1104" s="175"/>
      <c r="B1104" s="170"/>
      <c r="C1104" s="169"/>
      <c r="D1104" s="170"/>
      <c r="E1104" s="176">
        <f t="shared" si="17"/>
        <v>662274.450000023</v>
      </c>
      <c r="F1104" s="179"/>
      <c r="G1104" s="179"/>
      <c r="H1104" s="179"/>
      <c r="I1104" s="179"/>
      <c r="J1104" s="179"/>
    </row>
    <row r="1105" spans="1:10" ht="15" customHeight="1" x14ac:dyDescent="0.25">
      <c r="A1105" s="175"/>
      <c r="B1105" s="170"/>
      <c r="C1105" s="210"/>
      <c r="D1105" s="170"/>
      <c r="E1105" s="176">
        <f t="shared" si="17"/>
        <v>662274.450000023</v>
      </c>
      <c r="F1105" s="179"/>
      <c r="G1105" s="179"/>
      <c r="H1105" s="179"/>
      <c r="I1105" s="179"/>
      <c r="J1105" s="179"/>
    </row>
    <row r="1106" spans="1:10" ht="15" customHeight="1" x14ac:dyDescent="0.25">
      <c r="A1106" s="175"/>
      <c r="B1106" s="170"/>
      <c r="C1106" s="169"/>
      <c r="D1106" s="170"/>
      <c r="E1106" s="176">
        <f t="shared" si="17"/>
        <v>662274.450000023</v>
      </c>
      <c r="F1106" s="179"/>
      <c r="G1106" s="179"/>
      <c r="H1106" s="179"/>
      <c r="I1106" s="179"/>
      <c r="J1106" s="179"/>
    </row>
    <row r="1107" spans="1:10" ht="15" customHeight="1" x14ac:dyDescent="0.25">
      <c r="A1107" s="175"/>
      <c r="B1107" s="170"/>
      <c r="C1107" s="169"/>
      <c r="D1107" s="170"/>
      <c r="E1107" s="176">
        <f t="shared" si="17"/>
        <v>662274.450000023</v>
      </c>
      <c r="F1107" s="179"/>
      <c r="G1107" s="179"/>
      <c r="H1107" s="179"/>
      <c r="I1107" s="179"/>
      <c r="J1107" s="179"/>
    </row>
    <row r="1108" spans="1:10" ht="15" customHeight="1" x14ac:dyDescent="0.25">
      <c r="A1108" s="175"/>
      <c r="B1108" s="170"/>
      <c r="C1108" s="210"/>
      <c r="D1108" s="170"/>
      <c r="E1108" s="176">
        <f t="shared" si="17"/>
        <v>662274.450000023</v>
      </c>
      <c r="F1108" s="179"/>
      <c r="G1108" s="179"/>
      <c r="H1108" s="179"/>
      <c r="I1108" s="179"/>
      <c r="J1108" s="179"/>
    </row>
    <row r="1109" spans="1:10" ht="15" customHeight="1" x14ac:dyDescent="0.25">
      <c r="A1109" s="175"/>
      <c r="B1109" s="170"/>
      <c r="C1109" s="169"/>
      <c r="D1109" s="170"/>
      <c r="E1109" s="176">
        <f t="shared" si="17"/>
        <v>662274.450000023</v>
      </c>
      <c r="F1109" s="179"/>
      <c r="G1109" s="179"/>
      <c r="H1109" s="179"/>
      <c r="I1109" s="179"/>
      <c r="J1109" s="179"/>
    </row>
    <row r="1110" spans="1:10" ht="15" customHeight="1" x14ac:dyDescent="0.25">
      <c r="A1110" s="175"/>
      <c r="B1110" s="170"/>
      <c r="C1110" s="169"/>
      <c r="D1110" s="170"/>
      <c r="E1110" s="176">
        <f t="shared" si="17"/>
        <v>662274.450000023</v>
      </c>
      <c r="F1110" s="179"/>
      <c r="G1110" s="179"/>
      <c r="H1110" s="179"/>
      <c r="I1110" s="179"/>
      <c r="J1110" s="179"/>
    </row>
    <row r="1111" spans="1:10" ht="15" customHeight="1" x14ac:dyDescent="0.25">
      <c r="A1111" s="175"/>
      <c r="B1111" s="170"/>
      <c r="C1111" s="210"/>
      <c r="D1111" s="170"/>
      <c r="E1111" s="176">
        <f t="shared" si="17"/>
        <v>662274.450000023</v>
      </c>
      <c r="F1111" s="179"/>
      <c r="G1111" s="179"/>
      <c r="H1111" s="179"/>
      <c r="I1111" s="179"/>
      <c r="J1111" s="179"/>
    </row>
    <row r="1112" spans="1:10" ht="15" customHeight="1" x14ac:dyDescent="0.25">
      <c r="A1112" s="175"/>
      <c r="B1112" s="170"/>
      <c r="C1112" s="169"/>
      <c r="D1112" s="170"/>
      <c r="E1112" s="176">
        <f t="shared" si="17"/>
        <v>662274.450000023</v>
      </c>
      <c r="F1112" s="179"/>
      <c r="G1112" s="179"/>
      <c r="H1112" s="179"/>
      <c r="I1112" s="179"/>
      <c r="J1112" s="179"/>
    </row>
    <row r="1113" spans="1:10" ht="15" customHeight="1" x14ac:dyDescent="0.25">
      <c r="A1113" s="175"/>
      <c r="B1113" s="170"/>
      <c r="C1113" s="169"/>
      <c r="D1113" s="170"/>
      <c r="E1113" s="176">
        <f t="shared" si="17"/>
        <v>662274.450000023</v>
      </c>
      <c r="F1113" s="179"/>
      <c r="G1113" s="179"/>
      <c r="H1113" s="179"/>
      <c r="I1113" s="179"/>
      <c r="J1113" s="179"/>
    </row>
    <row r="1114" spans="1:10" ht="15" customHeight="1" x14ac:dyDescent="0.25">
      <c r="A1114" s="175"/>
      <c r="B1114" s="170"/>
      <c r="C1114" s="210"/>
      <c r="D1114" s="170"/>
      <c r="E1114" s="176">
        <f t="shared" si="17"/>
        <v>662274.450000023</v>
      </c>
      <c r="F1114" s="179"/>
      <c r="G1114" s="179"/>
      <c r="H1114" s="179"/>
      <c r="I1114" s="179"/>
      <c r="J1114" s="179"/>
    </row>
    <row r="1115" spans="1:10" ht="15" customHeight="1" x14ac:dyDescent="0.25">
      <c r="A1115" s="175"/>
      <c r="B1115" s="170"/>
      <c r="C1115" s="169"/>
      <c r="D1115" s="170"/>
      <c r="E1115" s="176">
        <f t="shared" si="17"/>
        <v>662274.450000023</v>
      </c>
      <c r="F1115" s="179"/>
      <c r="G1115" s="179"/>
      <c r="H1115" s="179"/>
      <c r="I1115" s="179"/>
      <c r="J1115" s="179"/>
    </row>
    <row r="1116" spans="1:10" ht="15" customHeight="1" x14ac:dyDescent="0.25">
      <c r="A1116" s="175"/>
      <c r="B1116" s="170"/>
      <c r="C1116" s="169"/>
      <c r="D1116" s="170"/>
      <c r="E1116" s="176">
        <f t="shared" si="17"/>
        <v>662274.450000023</v>
      </c>
      <c r="F1116" s="179"/>
      <c r="G1116" s="179"/>
      <c r="H1116" s="179"/>
      <c r="I1116" s="179"/>
      <c r="J1116" s="179"/>
    </row>
    <row r="1117" spans="1:10" ht="15" customHeight="1" x14ac:dyDescent="0.25">
      <c r="A1117" s="175"/>
      <c r="B1117" s="170"/>
      <c r="C1117" s="210"/>
      <c r="D1117" s="170"/>
      <c r="E1117" s="176">
        <f t="shared" si="17"/>
        <v>662274.450000023</v>
      </c>
      <c r="F1117" s="179"/>
      <c r="G1117" s="179"/>
      <c r="H1117" s="179"/>
      <c r="I1117" s="179"/>
      <c r="J1117" s="179"/>
    </row>
    <row r="1118" spans="1:10" ht="15" customHeight="1" x14ac:dyDescent="0.25">
      <c r="A1118" s="175"/>
      <c r="B1118" s="170"/>
      <c r="C1118" s="169"/>
      <c r="D1118" s="170"/>
      <c r="E1118" s="176">
        <f t="shared" si="17"/>
        <v>662274.450000023</v>
      </c>
      <c r="F1118" s="179"/>
      <c r="G1118" s="179"/>
      <c r="H1118" s="179"/>
      <c r="I1118" s="179"/>
      <c r="J1118" s="179"/>
    </row>
    <row r="1119" spans="1:10" ht="15" customHeight="1" x14ac:dyDescent="0.25">
      <c r="A1119" s="175"/>
      <c r="B1119" s="170"/>
      <c r="C1119" s="169"/>
      <c r="D1119" s="170"/>
      <c r="E1119" s="176">
        <f t="shared" si="17"/>
        <v>662274.450000023</v>
      </c>
      <c r="F1119" s="179"/>
      <c r="G1119" s="179"/>
      <c r="H1119" s="179"/>
      <c r="I1119" s="179"/>
      <c r="J1119" s="179"/>
    </row>
    <row r="1120" spans="1:10" ht="15" customHeight="1" x14ac:dyDescent="0.25">
      <c r="A1120" s="175"/>
      <c r="B1120" s="170"/>
      <c r="C1120" s="210"/>
      <c r="D1120" s="170"/>
      <c r="E1120" s="176">
        <f t="shared" si="17"/>
        <v>662274.450000023</v>
      </c>
      <c r="F1120" s="179"/>
      <c r="G1120" s="179"/>
      <c r="H1120" s="179"/>
      <c r="I1120" s="179"/>
      <c r="J1120" s="179"/>
    </row>
    <row r="1121" spans="1:10" ht="15" customHeight="1" x14ac:dyDescent="0.25">
      <c r="A1121" s="175"/>
      <c r="B1121" s="170"/>
      <c r="C1121" s="169"/>
      <c r="D1121" s="170"/>
      <c r="E1121" s="176">
        <f t="shared" si="17"/>
        <v>662274.450000023</v>
      </c>
      <c r="F1121" s="179"/>
      <c r="G1121" s="179"/>
      <c r="H1121" s="179"/>
      <c r="I1121" s="179"/>
      <c r="J1121" s="179"/>
    </row>
    <row r="1122" spans="1:10" ht="15" customHeight="1" x14ac:dyDescent="0.25">
      <c r="A1122" s="175"/>
      <c r="B1122" s="170"/>
      <c r="C1122" s="169"/>
      <c r="D1122" s="170"/>
      <c r="E1122" s="176">
        <f t="shared" si="17"/>
        <v>662274.450000023</v>
      </c>
      <c r="F1122" s="179"/>
      <c r="G1122" s="179"/>
      <c r="H1122" s="179"/>
      <c r="I1122" s="179"/>
      <c r="J1122" s="179"/>
    </row>
    <row r="1123" spans="1:10" ht="15" customHeight="1" x14ac:dyDescent="0.25">
      <c r="A1123" s="175"/>
      <c r="B1123" s="170"/>
      <c r="C1123" s="210"/>
      <c r="D1123" s="170"/>
      <c r="E1123" s="176">
        <f t="shared" si="17"/>
        <v>662274.450000023</v>
      </c>
      <c r="F1123" s="179"/>
      <c r="G1123" s="179"/>
      <c r="H1123" s="179"/>
      <c r="I1123" s="179"/>
      <c r="J1123" s="179"/>
    </row>
    <row r="1124" spans="1:10" ht="15" customHeight="1" x14ac:dyDescent="0.25">
      <c r="A1124" s="175"/>
      <c r="B1124" s="170"/>
      <c r="C1124" s="169"/>
      <c r="D1124" s="170"/>
      <c r="E1124" s="176">
        <f t="shared" si="17"/>
        <v>662274.450000023</v>
      </c>
      <c r="F1124" s="179"/>
      <c r="G1124" s="179"/>
      <c r="H1124" s="179"/>
      <c r="I1124" s="179"/>
      <c r="J1124" s="179"/>
    </row>
    <row r="1125" spans="1:10" ht="15" customHeight="1" x14ac:dyDescent="0.25">
      <c r="A1125" s="175"/>
      <c r="B1125" s="170"/>
      <c r="C1125" s="169"/>
      <c r="D1125" s="170"/>
      <c r="E1125" s="176">
        <f t="shared" si="17"/>
        <v>662274.450000023</v>
      </c>
      <c r="F1125" s="179"/>
      <c r="G1125" s="179"/>
      <c r="H1125" s="179"/>
      <c r="I1125" s="179"/>
      <c r="J1125" s="179"/>
    </row>
    <row r="1126" spans="1:10" ht="15" customHeight="1" x14ac:dyDescent="0.25">
      <c r="A1126" s="175"/>
      <c r="B1126" s="170"/>
      <c r="C1126" s="210"/>
      <c r="D1126" s="170"/>
      <c r="E1126" s="176">
        <f t="shared" si="17"/>
        <v>662274.450000023</v>
      </c>
      <c r="F1126" s="179"/>
      <c r="G1126" s="179"/>
      <c r="H1126" s="179"/>
      <c r="I1126" s="179"/>
      <c r="J1126" s="179"/>
    </row>
    <row r="1127" spans="1:10" ht="15" customHeight="1" x14ac:dyDescent="0.25">
      <c r="A1127" s="175"/>
      <c r="B1127" s="170"/>
      <c r="C1127" s="169"/>
      <c r="D1127" s="170"/>
      <c r="E1127" s="176">
        <f t="shared" si="17"/>
        <v>662274.450000023</v>
      </c>
      <c r="F1127" s="179"/>
      <c r="G1127" s="179"/>
      <c r="H1127" s="179"/>
      <c r="I1127" s="179"/>
      <c r="J1127" s="179"/>
    </row>
    <row r="1128" spans="1:10" ht="15" customHeight="1" x14ac:dyDescent="0.25">
      <c r="A1128" s="175"/>
      <c r="B1128" s="170"/>
      <c r="C1128" s="169"/>
      <c r="D1128" s="170"/>
      <c r="E1128" s="176">
        <f t="shared" si="17"/>
        <v>662274.450000023</v>
      </c>
      <c r="F1128" s="179"/>
      <c r="G1128" s="179"/>
      <c r="H1128" s="179"/>
      <c r="I1128" s="179"/>
      <c r="J1128" s="179"/>
    </row>
    <row r="1129" spans="1:10" ht="15" customHeight="1" x14ac:dyDescent="0.25">
      <c r="A1129" s="175"/>
      <c r="B1129" s="170"/>
      <c r="C1129" s="210"/>
      <c r="D1129" s="170"/>
      <c r="E1129" s="176">
        <f t="shared" si="17"/>
        <v>662274.450000023</v>
      </c>
      <c r="F1129" s="179"/>
      <c r="G1129" s="179"/>
      <c r="H1129" s="179"/>
      <c r="I1129" s="179"/>
      <c r="J1129" s="179"/>
    </row>
    <row r="1130" spans="1:10" ht="15" customHeight="1" x14ac:dyDescent="0.25">
      <c r="A1130" s="175"/>
      <c r="B1130" s="170"/>
      <c r="C1130" s="169"/>
      <c r="D1130" s="170"/>
      <c r="E1130" s="176">
        <f t="shared" si="17"/>
        <v>662274.450000023</v>
      </c>
      <c r="F1130" s="179"/>
      <c r="G1130" s="179"/>
      <c r="H1130" s="179"/>
      <c r="I1130" s="179"/>
      <c r="J1130" s="179"/>
    </row>
    <row r="1131" spans="1:10" ht="15" customHeight="1" x14ac:dyDescent="0.25">
      <c r="A1131" s="175"/>
      <c r="B1131" s="170"/>
      <c r="C1131" s="169"/>
      <c r="D1131" s="170"/>
      <c r="E1131" s="176">
        <f t="shared" si="17"/>
        <v>662274.450000023</v>
      </c>
      <c r="F1131" s="179"/>
      <c r="G1131" s="179"/>
      <c r="H1131" s="179"/>
      <c r="I1131" s="179"/>
      <c r="J1131" s="179"/>
    </row>
    <row r="1132" spans="1:10" ht="15" customHeight="1" x14ac:dyDescent="0.25">
      <c r="A1132" s="175"/>
      <c r="B1132" s="170"/>
      <c r="C1132" s="210"/>
      <c r="D1132" s="170"/>
      <c r="E1132" s="176">
        <f t="shared" si="17"/>
        <v>662274.450000023</v>
      </c>
      <c r="F1132" s="179"/>
      <c r="G1132" s="179"/>
      <c r="H1132" s="179"/>
      <c r="I1132" s="179"/>
      <c r="J1132" s="179"/>
    </row>
    <row r="1133" spans="1:10" ht="15" customHeight="1" x14ac:dyDescent="0.25">
      <c r="A1133" s="175"/>
      <c r="B1133" s="170"/>
      <c r="C1133" s="169"/>
      <c r="D1133" s="170"/>
      <c r="E1133" s="176">
        <f t="shared" si="17"/>
        <v>662274.450000023</v>
      </c>
      <c r="F1133" s="179"/>
      <c r="G1133" s="179"/>
      <c r="H1133" s="179"/>
      <c r="I1133" s="179"/>
      <c r="J1133" s="179"/>
    </row>
    <row r="1134" spans="1:10" ht="15" customHeight="1" x14ac:dyDescent="0.25">
      <c r="A1134" s="175"/>
      <c r="B1134" s="170"/>
      <c r="C1134" s="169"/>
      <c r="D1134" s="170"/>
      <c r="E1134" s="176">
        <f t="shared" si="17"/>
        <v>662274.450000023</v>
      </c>
      <c r="F1134" s="179"/>
      <c r="G1134" s="179"/>
      <c r="H1134" s="179"/>
      <c r="I1134" s="179"/>
      <c r="J1134" s="179"/>
    </row>
    <row r="1135" spans="1:10" ht="15" customHeight="1" x14ac:dyDescent="0.25">
      <c r="A1135" s="175"/>
      <c r="B1135" s="170"/>
      <c r="C1135" s="210"/>
      <c r="D1135" s="170"/>
      <c r="E1135" s="176">
        <f t="shared" si="17"/>
        <v>662274.450000023</v>
      </c>
      <c r="F1135" s="179"/>
      <c r="G1135" s="179"/>
      <c r="H1135" s="179"/>
      <c r="I1135" s="179"/>
      <c r="J1135" s="179"/>
    </row>
    <row r="1136" spans="1:10" ht="15" customHeight="1" x14ac:dyDescent="0.25">
      <c r="A1136" s="175"/>
      <c r="B1136" s="170"/>
      <c r="C1136" s="169"/>
      <c r="D1136" s="170"/>
      <c r="E1136" s="176">
        <f t="shared" si="17"/>
        <v>662274.450000023</v>
      </c>
      <c r="F1136" s="198"/>
      <c r="G1136" s="174"/>
      <c r="H1136" s="192"/>
      <c r="I1136" s="179"/>
      <c r="J1136" s="179"/>
    </row>
    <row r="1137" spans="1:11" ht="15" customHeight="1" x14ac:dyDescent="0.25">
      <c r="A1137" s="175"/>
      <c r="B1137" s="170"/>
      <c r="C1137" s="169"/>
      <c r="D1137" s="170"/>
      <c r="E1137" s="176">
        <f t="shared" si="17"/>
        <v>662274.450000023</v>
      </c>
      <c r="F1137" s="198"/>
      <c r="G1137" s="174"/>
      <c r="H1137" s="192"/>
      <c r="I1137" s="179"/>
      <c r="J1137" s="179"/>
    </row>
    <row r="1138" spans="1:11" ht="15" customHeight="1" x14ac:dyDescent="0.25">
      <c r="A1138" s="175"/>
      <c r="B1138" s="170"/>
      <c r="C1138" s="210"/>
      <c r="D1138" s="170"/>
      <c r="E1138" s="176">
        <f t="shared" si="17"/>
        <v>662274.450000023</v>
      </c>
      <c r="F1138" s="179"/>
      <c r="G1138" s="179"/>
      <c r="H1138" s="179"/>
      <c r="I1138" s="179"/>
      <c r="J1138" s="179"/>
    </row>
    <row r="1139" spans="1:11" ht="15" customHeight="1" x14ac:dyDescent="0.25">
      <c r="A1139" s="175"/>
      <c r="B1139" s="170"/>
      <c r="C1139" s="169"/>
      <c r="D1139" s="170"/>
      <c r="E1139" s="176">
        <f t="shared" si="17"/>
        <v>662274.450000023</v>
      </c>
      <c r="F1139" s="179"/>
      <c r="G1139" s="179"/>
      <c r="H1139" s="179"/>
      <c r="I1139" s="179"/>
      <c r="J1139" s="179"/>
    </row>
    <row r="1140" spans="1:11" ht="15" customHeight="1" x14ac:dyDescent="0.25">
      <c r="A1140" s="175"/>
      <c r="B1140" s="170"/>
      <c r="C1140" s="169"/>
      <c r="D1140" s="170"/>
      <c r="E1140" s="176">
        <f t="shared" si="17"/>
        <v>662274.450000023</v>
      </c>
      <c r="F1140" s="179"/>
      <c r="G1140" s="179"/>
      <c r="H1140" s="179"/>
      <c r="I1140" s="179"/>
      <c r="J1140" s="179"/>
    </row>
    <row r="1141" spans="1:11" ht="15" customHeight="1" x14ac:dyDescent="0.25">
      <c r="A1141" s="175"/>
      <c r="B1141" s="170"/>
      <c r="C1141" s="210"/>
      <c r="D1141" s="170"/>
      <c r="E1141" s="176">
        <f t="shared" si="17"/>
        <v>662274.450000023</v>
      </c>
      <c r="F1141" s="179"/>
      <c r="G1141" s="179"/>
      <c r="H1141" s="179"/>
      <c r="I1141" s="179"/>
      <c r="J1141" s="179"/>
    </row>
    <row r="1142" spans="1:11" ht="15" customHeight="1" x14ac:dyDescent="0.25">
      <c r="A1142" s="175"/>
      <c r="B1142" s="170"/>
      <c r="C1142" s="210"/>
      <c r="D1142" s="170"/>
      <c r="E1142" s="176">
        <f t="shared" si="17"/>
        <v>662274.450000023</v>
      </c>
      <c r="F1142" s="179"/>
      <c r="G1142" s="179"/>
      <c r="H1142" s="179"/>
      <c r="I1142" s="179"/>
      <c r="J1142" s="179"/>
    </row>
    <row r="1143" spans="1:11" ht="15" customHeight="1" x14ac:dyDescent="0.25">
      <c r="A1143" s="175"/>
      <c r="B1143" s="170"/>
      <c r="C1143" s="210"/>
      <c r="D1143" s="170"/>
      <c r="E1143" s="176">
        <f t="shared" si="17"/>
        <v>662274.450000023</v>
      </c>
      <c r="F1143" s="204"/>
      <c r="G1143" s="181"/>
      <c r="H1143" s="205"/>
      <c r="I1143" s="181"/>
      <c r="J1143" s="206"/>
    </row>
    <row r="1144" spans="1:11" ht="15" customHeight="1" x14ac:dyDescent="0.25">
      <c r="A1144" s="175"/>
      <c r="B1144" s="170"/>
      <c r="C1144" s="210"/>
      <c r="D1144" s="170"/>
      <c r="E1144" s="176">
        <f t="shared" si="17"/>
        <v>662274.450000023</v>
      </c>
      <c r="F1144" s="179"/>
      <c r="G1144" s="179"/>
      <c r="H1144" s="179"/>
      <c r="I1144" s="179"/>
      <c r="J1144" s="179"/>
    </row>
    <row r="1145" spans="1:11" ht="15" customHeight="1" x14ac:dyDescent="0.25">
      <c r="A1145" s="175"/>
      <c r="B1145" s="170"/>
      <c r="C1145" s="210"/>
      <c r="D1145" s="170"/>
      <c r="E1145" s="176">
        <f t="shared" si="17"/>
        <v>662274.450000023</v>
      </c>
      <c r="F1145" s="204"/>
      <c r="G1145" s="181"/>
      <c r="H1145" s="205"/>
      <c r="I1145" s="181"/>
      <c r="J1145" s="206"/>
      <c r="K1145" s="66"/>
    </row>
    <row r="1146" spans="1:11" ht="15" customHeight="1" x14ac:dyDescent="0.25">
      <c r="A1146" s="175"/>
      <c r="B1146" s="170"/>
      <c r="C1146" s="210"/>
      <c r="D1146" s="170"/>
      <c r="E1146" s="176">
        <f t="shared" si="17"/>
        <v>662274.450000023</v>
      </c>
      <c r="F1146" s="179"/>
      <c r="G1146" s="179"/>
      <c r="H1146" s="179"/>
      <c r="I1146" s="179"/>
      <c r="J1146" s="179"/>
    </row>
    <row r="1147" spans="1:11" ht="15" customHeight="1" x14ac:dyDescent="0.25">
      <c r="A1147" s="175"/>
      <c r="B1147" s="170"/>
      <c r="C1147" s="210"/>
      <c r="D1147" s="170"/>
      <c r="E1147" s="176">
        <f t="shared" si="17"/>
        <v>662274.450000023</v>
      </c>
      <c r="F1147" s="179"/>
      <c r="G1147" s="179"/>
      <c r="H1147" s="179"/>
      <c r="I1147" s="179"/>
      <c r="J1147" s="179"/>
    </row>
    <row r="1148" spans="1:11" ht="15" customHeight="1" x14ac:dyDescent="0.25">
      <c r="A1148" s="175"/>
      <c r="B1148" s="170"/>
      <c r="C1148" s="210"/>
      <c r="D1148" s="170"/>
      <c r="E1148" s="176">
        <f t="shared" si="17"/>
        <v>662274.450000023</v>
      </c>
      <c r="F1148" s="218"/>
      <c r="G1148" s="219"/>
      <c r="H1148" s="220"/>
      <c r="I1148" s="219"/>
      <c r="J1148" s="209"/>
    </row>
    <row r="1149" spans="1:11" ht="15" customHeight="1" x14ac:dyDescent="0.25">
      <c r="A1149" s="175"/>
      <c r="B1149" s="170"/>
      <c r="C1149" s="210"/>
      <c r="D1149" s="170"/>
      <c r="E1149" s="176">
        <f t="shared" si="17"/>
        <v>662274.450000023</v>
      </c>
      <c r="F1149" s="179"/>
      <c r="G1149" s="179"/>
      <c r="H1149" s="179"/>
      <c r="I1149" s="179"/>
      <c r="J1149" s="179"/>
    </row>
    <row r="1150" spans="1:11" ht="15" customHeight="1" x14ac:dyDescent="0.25">
      <c r="A1150" s="175"/>
      <c r="B1150" s="170"/>
      <c r="C1150" s="170"/>
      <c r="D1150" s="210"/>
      <c r="E1150" s="176">
        <f t="shared" si="17"/>
        <v>662274.450000023</v>
      </c>
      <c r="F1150" s="173"/>
      <c r="G1150" s="174"/>
      <c r="H1150" s="177"/>
      <c r="I1150" s="197"/>
      <c r="J1150" s="179"/>
    </row>
    <row r="1151" spans="1:11" ht="15" customHeight="1" x14ac:dyDescent="0.25">
      <c r="A1151" s="175"/>
      <c r="B1151" s="170"/>
      <c r="C1151" s="170"/>
      <c r="D1151" s="169"/>
      <c r="E1151" s="176">
        <f t="shared" si="17"/>
        <v>662274.450000023</v>
      </c>
      <c r="F1151" s="179"/>
      <c r="G1151" s="179"/>
      <c r="H1151" s="179"/>
      <c r="I1151" s="179"/>
      <c r="J1151" s="179"/>
    </row>
    <row r="1152" spans="1:11" ht="15" customHeight="1" x14ac:dyDescent="0.25">
      <c r="A1152" s="175"/>
      <c r="B1152" s="170"/>
      <c r="C1152" s="210"/>
      <c r="D1152" s="170"/>
      <c r="E1152" s="176">
        <f t="shared" si="17"/>
        <v>662274.450000023</v>
      </c>
      <c r="F1152" s="179"/>
      <c r="G1152" s="179"/>
      <c r="H1152" s="179"/>
      <c r="I1152" s="179"/>
      <c r="J1152" s="179"/>
    </row>
    <row r="1153" spans="1:10" ht="15" customHeight="1" x14ac:dyDescent="0.25">
      <c r="A1153" s="175"/>
      <c r="B1153" s="170"/>
      <c r="C1153" s="210"/>
      <c r="D1153" s="170"/>
      <c r="E1153" s="176">
        <f t="shared" si="17"/>
        <v>662274.450000023</v>
      </c>
      <c r="F1153" s="173"/>
      <c r="G1153" s="199"/>
      <c r="H1153" s="192"/>
      <c r="I1153" s="197"/>
      <c r="J1153" s="179"/>
    </row>
    <row r="1154" spans="1:10" ht="15" customHeight="1" x14ac:dyDescent="0.25">
      <c r="A1154" s="175"/>
      <c r="B1154" s="170"/>
      <c r="C1154" s="210"/>
      <c r="D1154" s="170"/>
      <c r="E1154" s="176">
        <f t="shared" si="17"/>
        <v>662274.450000023</v>
      </c>
      <c r="F1154" s="179"/>
      <c r="G1154" s="179"/>
      <c r="H1154" s="179"/>
      <c r="I1154" s="179"/>
      <c r="J1154" s="179"/>
    </row>
    <row r="1155" spans="1:10" ht="15" customHeight="1" x14ac:dyDescent="0.25">
      <c r="A1155" s="175"/>
      <c r="B1155" s="170"/>
      <c r="C1155" s="170"/>
      <c r="D1155" s="210"/>
      <c r="E1155" s="176">
        <f t="shared" si="17"/>
        <v>662274.450000023</v>
      </c>
      <c r="F1155" s="179"/>
      <c r="G1155" s="179"/>
      <c r="H1155" s="179"/>
      <c r="I1155" s="179"/>
      <c r="J1155" s="179"/>
    </row>
    <row r="1156" spans="1:10" ht="15" customHeight="1" x14ac:dyDescent="0.25">
      <c r="A1156" s="175"/>
      <c r="B1156" s="170"/>
      <c r="C1156" s="210"/>
      <c r="D1156" s="170"/>
      <c r="E1156" s="176">
        <f t="shared" si="17"/>
        <v>662274.450000023</v>
      </c>
      <c r="F1156" s="173"/>
      <c r="G1156" s="174"/>
      <c r="H1156" s="177"/>
      <c r="I1156" s="197"/>
      <c r="J1156" s="179"/>
    </row>
    <row r="1157" spans="1:10" ht="15" customHeight="1" x14ac:dyDescent="0.25">
      <c r="A1157" s="175"/>
      <c r="B1157" s="170"/>
      <c r="C1157" s="210"/>
      <c r="D1157" s="170"/>
      <c r="E1157" s="176">
        <f t="shared" si="17"/>
        <v>662274.450000023</v>
      </c>
      <c r="F1157" s="173"/>
      <c r="G1157" s="174"/>
      <c r="H1157" s="177"/>
      <c r="I1157" s="197"/>
      <c r="J1157" s="179"/>
    </row>
    <row r="1158" spans="1:10" ht="15" customHeight="1" x14ac:dyDescent="0.25">
      <c r="A1158" s="175"/>
      <c r="B1158" s="170"/>
      <c r="C1158" s="210"/>
      <c r="D1158" s="170"/>
      <c r="E1158" s="176">
        <f t="shared" si="17"/>
        <v>662274.450000023</v>
      </c>
      <c r="F1158" s="223"/>
      <c r="G1158" s="174"/>
      <c r="H1158" s="192"/>
      <c r="I1158" s="179"/>
      <c r="J1158" s="179"/>
    </row>
    <row r="1159" spans="1:10" ht="15" customHeight="1" x14ac:dyDescent="0.25">
      <c r="A1159" s="175"/>
      <c r="B1159" s="170"/>
      <c r="C1159" s="210"/>
      <c r="D1159" s="170"/>
      <c r="E1159" s="176">
        <f t="shared" si="17"/>
        <v>662274.450000023</v>
      </c>
      <c r="F1159" s="198"/>
      <c r="G1159" s="179"/>
      <c r="H1159" s="177"/>
      <c r="I1159" s="224"/>
      <c r="J1159" s="179"/>
    </row>
    <row r="1160" spans="1:10" ht="15" customHeight="1" x14ac:dyDescent="0.25">
      <c r="A1160" s="175"/>
      <c r="B1160" s="170"/>
      <c r="C1160" s="210"/>
      <c r="D1160" s="170"/>
      <c r="E1160" s="176">
        <f t="shared" ref="E1160:E1223" si="18">E1159-C1160+D1160</f>
        <v>662274.450000023</v>
      </c>
      <c r="F1160" s="204"/>
      <c r="G1160" s="181"/>
      <c r="H1160" s="205"/>
      <c r="I1160" s="181"/>
      <c r="J1160" s="206"/>
    </row>
    <row r="1161" spans="1:10" ht="15" customHeight="1" x14ac:dyDescent="0.25">
      <c r="A1161" s="175"/>
      <c r="B1161" s="170"/>
      <c r="C1161" s="210"/>
      <c r="D1161" s="170"/>
      <c r="E1161" s="176">
        <f t="shared" si="18"/>
        <v>662274.450000023</v>
      </c>
      <c r="F1161" s="179"/>
      <c r="G1161" s="179"/>
      <c r="H1161" s="179"/>
      <c r="I1161" s="179"/>
      <c r="J1161" s="179"/>
    </row>
    <row r="1162" spans="1:10" ht="15" customHeight="1" x14ac:dyDescent="0.25">
      <c r="A1162" s="175"/>
      <c r="B1162" s="170"/>
      <c r="C1162" s="210"/>
      <c r="D1162" s="170"/>
      <c r="E1162" s="176">
        <f t="shared" si="18"/>
        <v>662274.450000023</v>
      </c>
      <c r="F1162" s="179"/>
      <c r="G1162" s="179"/>
      <c r="H1162" s="179"/>
      <c r="I1162" s="179"/>
      <c r="J1162" s="179"/>
    </row>
    <row r="1163" spans="1:10" ht="15" customHeight="1" x14ac:dyDescent="0.25">
      <c r="A1163" s="175"/>
      <c r="B1163" s="170"/>
      <c r="C1163" s="210"/>
      <c r="D1163" s="170"/>
      <c r="E1163" s="176">
        <f t="shared" si="18"/>
        <v>662274.450000023</v>
      </c>
      <c r="F1163" s="179"/>
      <c r="G1163" s="179"/>
      <c r="H1163" s="179"/>
      <c r="I1163" s="179"/>
      <c r="J1163" s="179"/>
    </row>
    <row r="1164" spans="1:10" ht="15" customHeight="1" x14ac:dyDescent="0.25">
      <c r="A1164" s="175"/>
      <c r="B1164" s="170"/>
      <c r="C1164" s="210"/>
      <c r="D1164" s="170"/>
      <c r="E1164" s="176">
        <f t="shared" si="18"/>
        <v>662274.450000023</v>
      </c>
      <c r="F1164" s="173"/>
      <c r="G1164" s="199"/>
      <c r="H1164" s="192"/>
      <c r="I1164" s="197"/>
      <c r="J1164" s="179"/>
    </row>
    <row r="1165" spans="1:10" ht="15" customHeight="1" x14ac:dyDescent="0.25">
      <c r="A1165" s="175"/>
      <c r="B1165" s="170"/>
      <c r="C1165" s="210"/>
      <c r="D1165" s="170"/>
      <c r="E1165" s="176">
        <f t="shared" si="18"/>
        <v>662274.450000023</v>
      </c>
      <c r="F1165" s="179"/>
      <c r="G1165" s="179"/>
      <c r="H1165" s="179"/>
      <c r="I1165" s="179"/>
      <c r="J1165" s="179"/>
    </row>
    <row r="1166" spans="1:10" ht="15" customHeight="1" x14ac:dyDescent="0.25">
      <c r="A1166" s="175"/>
      <c r="B1166" s="170"/>
      <c r="C1166" s="210"/>
      <c r="D1166" s="170"/>
      <c r="E1166" s="176">
        <f t="shared" si="18"/>
        <v>662274.450000023</v>
      </c>
      <c r="F1166" s="179"/>
      <c r="G1166" s="179"/>
      <c r="H1166" s="179"/>
      <c r="I1166" s="179"/>
      <c r="J1166" s="179"/>
    </row>
    <row r="1167" spans="1:10" ht="15" customHeight="1" x14ac:dyDescent="0.25">
      <c r="A1167" s="175"/>
      <c r="B1167" s="170"/>
      <c r="C1167" s="210"/>
      <c r="D1167" s="170"/>
      <c r="E1167" s="176">
        <f t="shared" si="18"/>
        <v>662274.450000023</v>
      </c>
      <c r="F1167" s="179"/>
      <c r="G1167" s="179"/>
      <c r="H1167" s="179"/>
      <c r="I1167" s="179"/>
      <c r="J1167" s="179"/>
    </row>
    <row r="1168" spans="1:10" ht="15" customHeight="1" x14ac:dyDescent="0.25">
      <c r="A1168" s="175"/>
      <c r="B1168" s="170"/>
      <c r="C1168" s="210"/>
      <c r="D1168" s="170"/>
      <c r="E1168" s="176">
        <f t="shared" si="18"/>
        <v>662274.450000023</v>
      </c>
      <c r="F1168" s="179"/>
      <c r="G1168" s="179"/>
      <c r="H1168" s="179"/>
      <c r="I1168" s="179"/>
      <c r="J1168" s="179"/>
    </row>
    <row r="1169" spans="1:10" ht="15" customHeight="1" x14ac:dyDescent="0.25">
      <c r="A1169" s="175"/>
      <c r="B1169" s="170"/>
      <c r="C1169" s="210"/>
      <c r="D1169" s="170"/>
      <c r="E1169" s="176">
        <f t="shared" si="18"/>
        <v>662274.450000023</v>
      </c>
      <c r="F1169" s="179"/>
      <c r="G1169" s="179"/>
      <c r="H1169" s="179"/>
      <c r="I1169" s="179"/>
      <c r="J1169" s="179"/>
    </row>
    <row r="1170" spans="1:10" ht="15" customHeight="1" x14ac:dyDescent="0.25">
      <c r="A1170" s="175"/>
      <c r="B1170" s="170"/>
      <c r="C1170" s="210"/>
      <c r="D1170" s="170"/>
      <c r="E1170" s="176">
        <f t="shared" si="18"/>
        <v>662274.450000023</v>
      </c>
      <c r="F1170" s="179"/>
      <c r="G1170" s="179"/>
      <c r="H1170" s="179"/>
      <c r="I1170" s="179"/>
      <c r="J1170" s="179"/>
    </row>
    <row r="1171" spans="1:10" ht="15" customHeight="1" x14ac:dyDescent="0.25">
      <c r="A1171" s="175"/>
      <c r="B1171" s="170"/>
      <c r="C1171" s="210"/>
      <c r="D1171" s="170"/>
      <c r="E1171" s="176">
        <f t="shared" si="18"/>
        <v>662274.450000023</v>
      </c>
      <c r="F1171" s="179"/>
      <c r="G1171" s="179"/>
      <c r="H1171" s="179"/>
      <c r="I1171" s="179"/>
      <c r="J1171" s="179"/>
    </row>
    <row r="1172" spans="1:10" ht="15" customHeight="1" x14ac:dyDescent="0.25">
      <c r="A1172" s="175"/>
      <c r="B1172" s="170"/>
      <c r="C1172" s="210"/>
      <c r="D1172" s="170"/>
      <c r="E1172" s="176">
        <f t="shared" si="18"/>
        <v>662274.450000023</v>
      </c>
      <c r="F1172" s="179"/>
      <c r="G1172" s="179"/>
      <c r="H1172" s="179"/>
      <c r="I1172" s="179"/>
      <c r="J1172" s="179"/>
    </row>
    <row r="1173" spans="1:10" ht="15" customHeight="1" x14ac:dyDescent="0.25">
      <c r="A1173" s="175"/>
      <c r="B1173" s="170"/>
      <c r="C1173" s="210"/>
      <c r="D1173" s="170"/>
      <c r="E1173" s="176">
        <f t="shared" si="18"/>
        <v>662274.450000023</v>
      </c>
      <c r="F1173" s="179"/>
      <c r="G1173" s="179"/>
      <c r="H1173" s="179"/>
      <c r="I1173" s="179"/>
      <c r="J1173" s="179"/>
    </row>
    <row r="1174" spans="1:10" ht="15" customHeight="1" x14ac:dyDescent="0.25">
      <c r="A1174" s="175"/>
      <c r="B1174" s="170"/>
      <c r="C1174" s="210"/>
      <c r="D1174" s="170"/>
      <c r="E1174" s="176">
        <f t="shared" si="18"/>
        <v>662274.450000023</v>
      </c>
      <c r="F1174" s="179"/>
      <c r="G1174" s="179"/>
      <c r="H1174" s="179"/>
      <c r="I1174" s="179"/>
      <c r="J1174" s="179"/>
    </row>
    <row r="1175" spans="1:10" ht="15" customHeight="1" x14ac:dyDescent="0.25">
      <c r="A1175" s="175"/>
      <c r="B1175" s="170"/>
      <c r="C1175" s="210"/>
      <c r="D1175" s="170"/>
      <c r="E1175" s="176">
        <f t="shared" si="18"/>
        <v>662274.450000023</v>
      </c>
      <c r="F1175" s="179"/>
      <c r="G1175" s="179"/>
      <c r="H1175" s="179"/>
      <c r="I1175" s="179"/>
      <c r="J1175" s="179"/>
    </row>
    <row r="1176" spans="1:10" ht="15" customHeight="1" x14ac:dyDescent="0.25">
      <c r="A1176" s="175"/>
      <c r="B1176" s="170"/>
      <c r="C1176" s="210"/>
      <c r="D1176" s="170"/>
      <c r="E1176" s="176">
        <f t="shared" si="18"/>
        <v>662274.450000023</v>
      </c>
      <c r="F1176" s="179"/>
      <c r="G1176" s="179"/>
      <c r="H1176" s="179"/>
      <c r="I1176" s="179"/>
      <c r="J1176" s="179"/>
    </row>
    <row r="1177" spans="1:10" ht="15" customHeight="1" x14ac:dyDescent="0.25">
      <c r="A1177" s="175"/>
      <c r="B1177" s="170"/>
      <c r="C1177" s="210"/>
      <c r="D1177" s="170"/>
      <c r="E1177" s="176">
        <f t="shared" si="18"/>
        <v>662274.450000023</v>
      </c>
      <c r="F1177" s="179"/>
      <c r="G1177" s="179"/>
      <c r="H1177" s="179"/>
      <c r="I1177" s="179"/>
      <c r="J1177" s="179"/>
    </row>
    <row r="1178" spans="1:10" ht="15" customHeight="1" x14ac:dyDescent="0.25">
      <c r="A1178" s="175"/>
      <c r="B1178" s="170"/>
      <c r="C1178" s="210"/>
      <c r="D1178" s="170"/>
      <c r="E1178" s="176">
        <f t="shared" si="18"/>
        <v>662274.450000023</v>
      </c>
      <c r="F1178" s="179"/>
      <c r="G1178" s="179"/>
      <c r="H1178" s="179"/>
      <c r="I1178" s="179"/>
      <c r="J1178" s="179"/>
    </row>
    <row r="1179" spans="1:10" ht="15" customHeight="1" x14ac:dyDescent="0.25">
      <c r="A1179" s="175"/>
      <c r="B1179" s="170"/>
      <c r="C1179" s="210"/>
      <c r="D1179" s="170"/>
      <c r="E1179" s="176">
        <f t="shared" si="18"/>
        <v>662274.450000023</v>
      </c>
      <c r="F1179" s="204"/>
      <c r="G1179" s="181"/>
      <c r="H1179" s="205"/>
      <c r="I1179" s="181"/>
      <c r="J1179" s="206"/>
    </row>
    <row r="1180" spans="1:10" ht="15" customHeight="1" x14ac:dyDescent="0.25">
      <c r="A1180" s="175"/>
      <c r="B1180" s="170"/>
      <c r="C1180" s="210"/>
      <c r="D1180" s="170"/>
      <c r="E1180" s="176">
        <f t="shared" si="18"/>
        <v>662274.450000023</v>
      </c>
      <c r="F1180" s="179"/>
      <c r="G1180" s="179"/>
      <c r="H1180" s="179"/>
      <c r="I1180" s="179"/>
      <c r="J1180" s="179"/>
    </row>
    <row r="1181" spans="1:10" ht="15" customHeight="1" x14ac:dyDescent="0.25">
      <c r="A1181" s="175"/>
      <c r="B1181" s="170"/>
      <c r="C1181" s="210"/>
      <c r="D1181" s="170"/>
      <c r="E1181" s="176">
        <f t="shared" si="18"/>
        <v>662274.450000023</v>
      </c>
      <c r="F1181" s="179"/>
      <c r="G1181" s="179"/>
      <c r="H1181" s="179"/>
      <c r="I1181" s="179"/>
      <c r="J1181" s="179"/>
    </row>
    <row r="1182" spans="1:10" ht="15" customHeight="1" x14ac:dyDescent="0.25">
      <c r="A1182" s="175"/>
      <c r="B1182" s="170"/>
      <c r="C1182" s="210"/>
      <c r="D1182" s="170"/>
      <c r="E1182" s="176">
        <f t="shared" si="18"/>
        <v>662274.450000023</v>
      </c>
      <c r="F1182" s="179"/>
      <c r="G1182" s="179"/>
      <c r="H1182" s="179"/>
      <c r="I1182" s="179"/>
      <c r="J1182" s="179"/>
    </row>
    <row r="1183" spans="1:10" ht="15" customHeight="1" x14ac:dyDescent="0.25">
      <c r="A1183" s="175"/>
      <c r="B1183" s="170"/>
      <c r="C1183" s="210"/>
      <c r="D1183" s="170"/>
      <c r="E1183" s="176">
        <f t="shared" si="18"/>
        <v>662274.450000023</v>
      </c>
      <c r="F1183" s="179"/>
      <c r="G1183" s="179"/>
      <c r="H1183" s="179"/>
      <c r="I1183" s="179"/>
      <c r="J1183" s="179"/>
    </row>
    <row r="1184" spans="1:10" ht="15" customHeight="1" x14ac:dyDescent="0.25">
      <c r="A1184" s="175"/>
      <c r="B1184" s="170"/>
      <c r="C1184" s="210"/>
      <c r="D1184" s="170"/>
      <c r="E1184" s="176">
        <f t="shared" si="18"/>
        <v>662274.450000023</v>
      </c>
      <c r="F1184" s="179"/>
      <c r="G1184" s="179"/>
      <c r="H1184" s="179"/>
      <c r="I1184" s="179"/>
      <c r="J1184" s="179"/>
    </row>
    <row r="1185" spans="1:10" ht="15" customHeight="1" x14ac:dyDescent="0.25">
      <c r="A1185" s="175"/>
      <c r="B1185" s="170"/>
      <c r="C1185" s="210"/>
      <c r="D1185" s="170"/>
      <c r="E1185" s="176">
        <f t="shared" si="18"/>
        <v>662274.450000023</v>
      </c>
      <c r="F1185" s="179"/>
      <c r="G1185" s="179"/>
      <c r="H1185" s="179"/>
      <c r="I1185" s="179"/>
      <c r="J1185" s="179"/>
    </row>
    <row r="1186" spans="1:10" ht="15" customHeight="1" x14ac:dyDescent="0.25">
      <c r="A1186" s="175"/>
      <c r="B1186" s="170"/>
      <c r="C1186" s="210"/>
      <c r="D1186" s="170"/>
      <c r="E1186" s="176">
        <f t="shared" si="18"/>
        <v>662274.450000023</v>
      </c>
      <c r="F1186" s="179"/>
      <c r="G1186" s="179"/>
      <c r="H1186" s="179"/>
      <c r="I1186" s="179"/>
      <c r="J1186" s="179"/>
    </row>
    <row r="1187" spans="1:10" ht="15" customHeight="1" x14ac:dyDescent="0.25">
      <c r="A1187" s="175"/>
      <c r="B1187" s="170"/>
      <c r="C1187" s="210"/>
      <c r="D1187" s="170"/>
      <c r="E1187" s="176">
        <f t="shared" si="18"/>
        <v>662274.450000023</v>
      </c>
      <c r="F1187" s="179"/>
      <c r="G1187" s="179"/>
      <c r="H1187" s="179"/>
      <c r="I1187" s="179"/>
      <c r="J1187" s="179"/>
    </row>
    <row r="1188" spans="1:10" ht="15" customHeight="1" x14ac:dyDescent="0.25">
      <c r="A1188" s="175"/>
      <c r="B1188" s="170"/>
      <c r="C1188" s="210"/>
      <c r="D1188" s="170"/>
      <c r="E1188" s="176">
        <f t="shared" si="18"/>
        <v>662274.450000023</v>
      </c>
      <c r="F1188" s="221"/>
      <c r="G1188" s="174"/>
      <c r="H1188" s="192"/>
      <c r="I1188" s="222"/>
      <c r="J1188" s="179"/>
    </row>
    <row r="1189" spans="1:10" ht="15" customHeight="1" x14ac:dyDescent="0.25">
      <c r="A1189" s="175"/>
      <c r="B1189" s="170"/>
      <c r="C1189" s="210"/>
      <c r="D1189" s="170"/>
      <c r="E1189" s="176">
        <f t="shared" si="18"/>
        <v>662274.450000023</v>
      </c>
      <c r="F1189" s="179"/>
      <c r="G1189" s="179"/>
      <c r="H1189" s="179"/>
      <c r="I1189" s="179"/>
      <c r="J1189" s="179"/>
    </row>
    <row r="1190" spans="1:10" ht="15" customHeight="1" x14ac:dyDescent="0.25">
      <c r="A1190" s="175"/>
      <c r="B1190" s="170"/>
      <c r="C1190" s="210"/>
      <c r="D1190" s="170"/>
      <c r="E1190" s="176">
        <f t="shared" si="18"/>
        <v>662274.450000023</v>
      </c>
      <c r="F1190" s="179"/>
      <c r="G1190" s="179"/>
      <c r="H1190" s="179"/>
      <c r="I1190" s="179"/>
      <c r="J1190" s="179"/>
    </row>
    <row r="1191" spans="1:10" ht="15" customHeight="1" x14ac:dyDescent="0.25">
      <c r="A1191" s="175"/>
      <c r="B1191" s="170"/>
      <c r="C1191" s="210"/>
      <c r="D1191" s="170"/>
      <c r="E1191" s="176">
        <f t="shared" si="18"/>
        <v>662274.450000023</v>
      </c>
      <c r="F1191" s="225"/>
      <c r="G1191" s="179"/>
      <c r="H1191" s="179"/>
      <c r="I1191" s="179"/>
      <c r="J1191" s="179"/>
    </row>
    <row r="1192" spans="1:10" ht="15" customHeight="1" x14ac:dyDescent="0.25">
      <c r="A1192" s="175"/>
      <c r="B1192" s="170"/>
      <c r="C1192" s="210"/>
      <c r="D1192" s="170"/>
      <c r="E1192" s="176">
        <f t="shared" si="18"/>
        <v>662274.450000023</v>
      </c>
      <c r="F1192" s="225"/>
      <c r="G1192" s="179"/>
      <c r="H1192" s="179"/>
      <c r="I1192" s="179"/>
      <c r="J1192" s="179"/>
    </row>
    <row r="1193" spans="1:10" ht="15" customHeight="1" x14ac:dyDescent="0.25">
      <c r="A1193" s="175"/>
      <c r="B1193" s="170"/>
      <c r="C1193" s="210"/>
      <c r="D1193" s="170"/>
      <c r="E1193" s="176">
        <f t="shared" si="18"/>
        <v>662274.450000023</v>
      </c>
      <c r="F1193" s="179"/>
      <c r="G1193" s="179"/>
      <c r="H1193" s="179"/>
      <c r="I1193" s="179"/>
      <c r="J1193" s="179"/>
    </row>
    <row r="1194" spans="1:10" ht="15" customHeight="1" x14ac:dyDescent="0.25">
      <c r="A1194" s="175"/>
      <c r="B1194" s="170"/>
      <c r="C1194" s="210"/>
      <c r="D1194" s="170"/>
      <c r="E1194" s="176">
        <f t="shared" si="18"/>
        <v>662274.450000023</v>
      </c>
      <c r="F1194" s="179"/>
      <c r="G1194" s="179"/>
      <c r="H1194" s="179"/>
      <c r="I1194" s="179"/>
      <c r="J1194" s="179"/>
    </row>
    <row r="1195" spans="1:10" ht="15" customHeight="1" x14ac:dyDescent="0.25">
      <c r="A1195" s="175"/>
      <c r="B1195" s="170"/>
      <c r="C1195" s="210"/>
      <c r="D1195" s="170"/>
      <c r="E1195" s="176">
        <f t="shared" si="18"/>
        <v>662274.450000023</v>
      </c>
      <c r="F1195" s="204"/>
      <c r="G1195" s="181"/>
      <c r="H1195" s="205"/>
      <c r="I1195" s="181"/>
      <c r="J1195" s="206"/>
    </row>
    <row r="1196" spans="1:10" ht="15" customHeight="1" x14ac:dyDescent="0.25">
      <c r="A1196" s="175"/>
      <c r="B1196" s="170"/>
      <c r="C1196" s="210"/>
      <c r="D1196" s="170"/>
      <c r="E1196" s="176">
        <f t="shared" si="18"/>
        <v>662274.450000023</v>
      </c>
      <c r="F1196" s="218"/>
      <c r="G1196" s="219"/>
      <c r="H1196" s="220"/>
      <c r="I1196" s="219"/>
      <c r="J1196" s="209"/>
    </row>
    <row r="1197" spans="1:10" ht="15" customHeight="1" x14ac:dyDescent="0.25">
      <c r="A1197" s="175"/>
      <c r="B1197" s="170"/>
      <c r="C1197" s="210"/>
      <c r="D1197" s="170"/>
      <c r="E1197" s="176">
        <f t="shared" si="18"/>
        <v>662274.450000023</v>
      </c>
      <c r="F1197" s="218"/>
      <c r="G1197" s="219"/>
      <c r="H1197" s="220"/>
      <c r="I1197" s="219"/>
      <c r="J1197" s="209"/>
    </row>
    <row r="1198" spans="1:10" ht="15" customHeight="1" x14ac:dyDescent="0.25">
      <c r="A1198" s="175"/>
      <c r="B1198" s="170"/>
      <c r="C1198" s="210"/>
      <c r="D1198" s="170"/>
      <c r="E1198" s="176">
        <f t="shared" si="18"/>
        <v>662274.450000023</v>
      </c>
      <c r="F1198" s="179"/>
      <c r="G1198" s="179"/>
      <c r="H1198" s="179"/>
      <c r="I1198" s="179"/>
      <c r="J1198" s="179"/>
    </row>
    <row r="1199" spans="1:10" ht="15" customHeight="1" x14ac:dyDescent="0.25">
      <c r="A1199" s="175"/>
      <c r="B1199" s="170"/>
      <c r="C1199" s="210"/>
      <c r="D1199" s="170"/>
      <c r="E1199" s="176">
        <f t="shared" si="18"/>
        <v>662274.450000023</v>
      </c>
      <c r="F1199" s="173"/>
      <c r="G1199" s="174"/>
      <c r="H1199" s="177"/>
      <c r="I1199" s="197"/>
      <c r="J1199" s="179"/>
    </row>
    <row r="1200" spans="1:10" ht="15" customHeight="1" x14ac:dyDescent="0.25">
      <c r="A1200" s="175"/>
      <c r="B1200" s="170"/>
      <c r="C1200" s="210"/>
      <c r="D1200" s="170"/>
      <c r="E1200" s="176">
        <f t="shared" si="18"/>
        <v>662274.450000023</v>
      </c>
      <c r="F1200" s="173"/>
      <c r="G1200" s="174"/>
      <c r="H1200" s="177"/>
      <c r="I1200" s="197"/>
      <c r="J1200" s="179"/>
    </row>
    <row r="1201" spans="1:10" ht="15" customHeight="1" x14ac:dyDescent="0.25">
      <c r="A1201" s="175"/>
      <c r="B1201" s="170"/>
      <c r="C1201" s="210"/>
      <c r="D1201" s="170"/>
      <c r="E1201" s="176">
        <f t="shared" si="18"/>
        <v>662274.450000023</v>
      </c>
      <c r="F1201" s="179"/>
      <c r="G1201" s="179"/>
      <c r="H1201" s="179"/>
      <c r="I1201" s="179"/>
      <c r="J1201" s="179"/>
    </row>
    <row r="1202" spans="1:10" ht="15" customHeight="1" x14ac:dyDescent="0.25">
      <c r="A1202" s="175"/>
      <c r="B1202" s="170"/>
      <c r="C1202" s="210"/>
      <c r="D1202" s="170"/>
      <c r="E1202" s="176">
        <f t="shared" si="18"/>
        <v>662274.450000023</v>
      </c>
      <c r="F1202" s="179"/>
      <c r="G1202" s="179"/>
      <c r="H1202" s="179"/>
      <c r="I1202" s="179"/>
      <c r="J1202" s="179"/>
    </row>
    <row r="1203" spans="1:10" ht="15" customHeight="1" x14ac:dyDescent="0.25">
      <c r="A1203" s="175"/>
      <c r="B1203" s="170"/>
      <c r="C1203" s="210"/>
      <c r="D1203" s="170"/>
      <c r="E1203" s="176">
        <f t="shared" si="18"/>
        <v>662274.450000023</v>
      </c>
      <c r="F1203" s="179"/>
      <c r="G1203" s="179"/>
      <c r="H1203" s="179"/>
      <c r="I1203" s="179"/>
      <c r="J1203" s="179"/>
    </row>
    <row r="1204" spans="1:10" ht="15" customHeight="1" x14ac:dyDescent="0.25">
      <c r="A1204" s="175"/>
      <c r="B1204" s="170"/>
      <c r="C1204" s="210"/>
      <c r="D1204" s="170"/>
      <c r="E1204" s="176">
        <f t="shared" si="18"/>
        <v>662274.450000023</v>
      </c>
      <c r="F1204" s="179"/>
      <c r="G1204" s="179"/>
      <c r="H1204" s="179"/>
      <c r="I1204" s="179"/>
      <c r="J1204" s="179"/>
    </row>
    <row r="1205" spans="1:10" ht="15" customHeight="1" x14ac:dyDescent="0.25">
      <c r="A1205" s="175"/>
      <c r="B1205" s="170"/>
      <c r="C1205" s="210"/>
      <c r="D1205" s="170"/>
      <c r="E1205" s="176">
        <f t="shared" si="18"/>
        <v>662274.450000023</v>
      </c>
      <c r="F1205" s="179"/>
      <c r="G1205" s="179"/>
      <c r="H1205" s="179"/>
      <c r="I1205" s="179"/>
      <c r="J1205" s="179"/>
    </row>
    <row r="1206" spans="1:10" ht="15" customHeight="1" x14ac:dyDescent="0.25">
      <c r="A1206" s="175"/>
      <c r="B1206" s="170"/>
      <c r="C1206" s="210"/>
      <c r="D1206" s="170"/>
      <c r="E1206" s="176">
        <f t="shared" si="18"/>
        <v>662274.450000023</v>
      </c>
      <c r="F1206" s="179"/>
      <c r="G1206" s="179"/>
      <c r="H1206" s="179"/>
      <c r="I1206" s="179"/>
      <c r="J1206" s="179"/>
    </row>
    <row r="1207" spans="1:10" ht="15" customHeight="1" x14ac:dyDescent="0.25">
      <c r="A1207" s="175"/>
      <c r="B1207" s="170"/>
      <c r="C1207" s="210"/>
      <c r="D1207" s="170"/>
      <c r="E1207" s="176">
        <f t="shared" si="18"/>
        <v>662274.450000023</v>
      </c>
      <c r="F1207" s="179"/>
      <c r="G1207" s="179"/>
      <c r="H1207" s="179"/>
      <c r="I1207" s="179"/>
      <c r="J1207" s="179"/>
    </row>
    <row r="1208" spans="1:10" ht="15" customHeight="1" x14ac:dyDescent="0.25">
      <c r="A1208" s="175"/>
      <c r="B1208" s="170"/>
      <c r="C1208" s="210"/>
      <c r="D1208" s="170"/>
      <c r="E1208" s="176">
        <f t="shared" si="18"/>
        <v>662274.450000023</v>
      </c>
      <c r="F1208" s="179"/>
      <c r="G1208" s="179"/>
      <c r="H1208" s="179"/>
      <c r="I1208" s="179"/>
      <c r="J1208" s="179"/>
    </row>
    <row r="1209" spans="1:10" ht="15" customHeight="1" x14ac:dyDescent="0.25">
      <c r="A1209" s="175"/>
      <c r="B1209" s="170"/>
      <c r="C1209" s="210"/>
      <c r="D1209" s="170"/>
      <c r="E1209" s="176">
        <f t="shared" si="18"/>
        <v>662274.450000023</v>
      </c>
      <c r="F1209" s="179"/>
      <c r="G1209" s="179"/>
      <c r="H1209" s="179"/>
      <c r="I1209" s="179"/>
      <c r="J1209" s="179"/>
    </row>
    <row r="1210" spans="1:10" ht="15" customHeight="1" x14ac:dyDescent="0.25">
      <c r="A1210" s="175"/>
      <c r="B1210" s="170"/>
      <c r="C1210" s="210"/>
      <c r="D1210" s="170"/>
      <c r="E1210" s="176">
        <f t="shared" si="18"/>
        <v>662274.450000023</v>
      </c>
      <c r="F1210" s="179"/>
      <c r="G1210" s="179"/>
      <c r="H1210" s="179"/>
      <c r="I1210" s="179"/>
      <c r="J1210" s="179"/>
    </row>
    <row r="1211" spans="1:10" ht="15" customHeight="1" x14ac:dyDescent="0.25">
      <c r="A1211" s="175"/>
      <c r="B1211" s="170"/>
      <c r="C1211" s="210"/>
      <c r="D1211" s="170"/>
      <c r="E1211" s="176">
        <f t="shared" si="18"/>
        <v>662274.450000023</v>
      </c>
      <c r="F1211" s="179"/>
      <c r="G1211" s="179"/>
      <c r="H1211" s="179"/>
      <c r="I1211" s="179"/>
      <c r="J1211" s="179"/>
    </row>
    <row r="1212" spans="1:10" ht="15" customHeight="1" x14ac:dyDescent="0.25">
      <c r="A1212" s="175"/>
      <c r="B1212" s="170"/>
      <c r="C1212" s="210"/>
      <c r="D1212" s="170"/>
      <c r="E1212" s="176">
        <f t="shared" si="18"/>
        <v>662274.450000023</v>
      </c>
      <c r="F1212" s="179"/>
      <c r="G1212" s="179"/>
      <c r="H1212" s="179"/>
      <c r="I1212" s="179"/>
      <c r="J1212" s="179"/>
    </row>
    <row r="1213" spans="1:10" ht="15" customHeight="1" x14ac:dyDescent="0.25">
      <c r="A1213" s="175"/>
      <c r="B1213" s="170"/>
      <c r="C1213" s="210"/>
      <c r="D1213" s="170"/>
      <c r="E1213" s="176">
        <f t="shared" si="18"/>
        <v>662274.450000023</v>
      </c>
      <c r="F1213" s="179"/>
      <c r="G1213" s="179"/>
      <c r="H1213" s="179"/>
      <c r="I1213" s="179"/>
      <c r="J1213" s="179"/>
    </row>
    <row r="1214" spans="1:10" ht="15" customHeight="1" x14ac:dyDescent="0.25">
      <c r="A1214" s="175"/>
      <c r="B1214" s="170"/>
      <c r="C1214" s="210"/>
      <c r="D1214" s="170"/>
      <c r="E1214" s="176">
        <f t="shared" si="18"/>
        <v>662274.450000023</v>
      </c>
      <c r="F1214" s="179"/>
      <c r="G1214" s="179"/>
      <c r="H1214" s="179"/>
      <c r="I1214" s="179"/>
      <c r="J1214" s="179"/>
    </row>
    <row r="1215" spans="1:10" ht="15" customHeight="1" x14ac:dyDescent="0.25">
      <c r="A1215" s="175"/>
      <c r="B1215" s="170"/>
      <c r="C1215" s="210"/>
      <c r="D1215" s="170"/>
      <c r="E1215" s="176">
        <f t="shared" si="18"/>
        <v>662274.450000023</v>
      </c>
      <c r="F1215" s="179"/>
      <c r="G1215" s="179"/>
      <c r="H1215" s="179"/>
      <c r="I1215" s="179"/>
      <c r="J1215" s="179"/>
    </row>
    <row r="1216" spans="1:10" ht="15" customHeight="1" x14ac:dyDescent="0.25">
      <c r="A1216" s="175"/>
      <c r="B1216" s="170"/>
      <c r="C1216" s="210"/>
      <c r="D1216" s="170"/>
      <c r="E1216" s="176">
        <f t="shared" si="18"/>
        <v>662274.450000023</v>
      </c>
      <c r="F1216" s="179"/>
      <c r="G1216" s="179"/>
      <c r="H1216" s="179"/>
      <c r="I1216" s="179"/>
      <c r="J1216" s="179"/>
    </row>
    <row r="1217" spans="1:10" ht="15" customHeight="1" x14ac:dyDescent="0.25">
      <c r="A1217" s="175"/>
      <c r="B1217" s="170"/>
      <c r="C1217" s="210"/>
      <c r="D1217" s="170"/>
      <c r="E1217" s="176">
        <f t="shared" si="18"/>
        <v>662274.450000023</v>
      </c>
      <c r="F1217" s="179"/>
      <c r="G1217" s="179"/>
      <c r="H1217" s="179"/>
      <c r="I1217" s="179"/>
      <c r="J1217" s="179"/>
    </row>
    <row r="1218" spans="1:10" ht="15" customHeight="1" x14ac:dyDescent="0.25">
      <c r="A1218" s="175"/>
      <c r="B1218" s="170"/>
      <c r="C1218" s="210"/>
      <c r="D1218" s="170"/>
      <c r="E1218" s="176">
        <f t="shared" si="18"/>
        <v>662274.450000023</v>
      </c>
      <c r="F1218" s="179"/>
      <c r="G1218" s="179"/>
      <c r="H1218" s="179"/>
      <c r="I1218" s="179"/>
      <c r="J1218" s="179"/>
    </row>
    <row r="1219" spans="1:10" ht="15" customHeight="1" x14ac:dyDescent="0.25">
      <c r="A1219" s="175"/>
      <c r="B1219" s="170"/>
      <c r="C1219" s="210"/>
      <c r="D1219" s="170"/>
      <c r="E1219" s="176">
        <f t="shared" si="18"/>
        <v>662274.450000023</v>
      </c>
      <c r="F1219" s="179"/>
      <c r="G1219" s="179"/>
      <c r="H1219" s="179"/>
      <c r="I1219" s="179"/>
      <c r="J1219" s="179"/>
    </row>
    <row r="1220" spans="1:10" ht="15" customHeight="1" x14ac:dyDescent="0.25">
      <c r="A1220" s="175"/>
      <c r="B1220" s="170"/>
      <c r="C1220" s="210"/>
      <c r="D1220" s="170"/>
      <c r="E1220" s="176">
        <f t="shared" si="18"/>
        <v>662274.450000023</v>
      </c>
      <c r="F1220" s="179"/>
      <c r="G1220" s="179"/>
      <c r="H1220" s="179"/>
      <c r="I1220" s="179"/>
      <c r="J1220" s="179"/>
    </row>
    <row r="1221" spans="1:10" ht="15" customHeight="1" x14ac:dyDescent="0.25">
      <c r="A1221" s="175"/>
      <c r="B1221" s="170"/>
      <c r="C1221" s="210"/>
      <c r="D1221" s="170"/>
      <c r="E1221" s="176">
        <f t="shared" si="18"/>
        <v>662274.450000023</v>
      </c>
      <c r="F1221" s="179"/>
      <c r="G1221" s="179"/>
      <c r="H1221" s="179"/>
      <c r="I1221" s="179"/>
      <c r="J1221" s="179"/>
    </row>
    <row r="1222" spans="1:10" ht="15" customHeight="1" x14ac:dyDescent="0.25">
      <c r="A1222" s="175"/>
      <c r="B1222" s="170"/>
      <c r="C1222" s="210"/>
      <c r="D1222" s="170"/>
      <c r="E1222" s="176">
        <f t="shared" si="18"/>
        <v>662274.450000023</v>
      </c>
      <c r="F1222" s="179"/>
      <c r="G1222" s="179"/>
      <c r="H1222" s="179"/>
      <c r="I1222" s="179"/>
      <c r="J1222" s="179"/>
    </row>
    <row r="1223" spans="1:10" ht="15" customHeight="1" x14ac:dyDescent="0.25">
      <c r="A1223" s="175"/>
      <c r="B1223" s="170"/>
      <c r="C1223" s="210"/>
      <c r="D1223" s="170"/>
      <c r="E1223" s="176">
        <f t="shared" si="18"/>
        <v>662274.450000023</v>
      </c>
      <c r="F1223" s="179"/>
      <c r="G1223" s="179"/>
      <c r="H1223" s="179"/>
      <c r="I1223" s="179"/>
      <c r="J1223" s="179"/>
    </row>
    <row r="1224" spans="1:10" ht="15" customHeight="1" x14ac:dyDescent="0.25">
      <c r="A1224" s="175"/>
      <c r="B1224" s="170"/>
      <c r="C1224" s="210"/>
      <c r="D1224" s="170"/>
      <c r="E1224" s="176">
        <f t="shared" ref="E1224:E1287" si="19">E1223-C1224+D1224</f>
        <v>662274.450000023</v>
      </c>
      <c r="F1224" s="179"/>
      <c r="G1224" s="179"/>
      <c r="H1224" s="179"/>
      <c r="I1224" s="179"/>
      <c r="J1224" s="179"/>
    </row>
    <row r="1225" spans="1:10" ht="15" customHeight="1" x14ac:dyDescent="0.25">
      <c r="A1225" s="175"/>
      <c r="B1225" s="170"/>
      <c r="C1225" s="210"/>
      <c r="D1225" s="170"/>
      <c r="E1225" s="176">
        <f t="shared" si="19"/>
        <v>662274.450000023</v>
      </c>
      <c r="F1225" s="179"/>
      <c r="G1225" s="179"/>
      <c r="H1225" s="179"/>
      <c r="I1225" s="179"/>
      <c r="J1225" s="179"/>
    </row>
    <row r="1226" spans="1:10" ht="15" customHeight="1" x14ac:dyDescent="0.25">
      <c r="A1226" s="175"/>
      <c r="B1226" s="170"/>
      <c r="C1226" s="210"/>
      <c r="D1226" s="170"/>
      <c r="E1226" s="176">
        <f t="shared" si="19"/>
        <v>662274.450000023</v>
      </c>
      <c r="F1226" s="179"/>
      <c r="G1226" s="179"/>
      <c r="H1226" s="179"/>
      <c r="I1226" s="179"/>
      <c r="J1226" s="179"/>
    </row>
    <row r="1227" spans="1:10" ht="15" customHeight="1" x14ac:dyDescent="0.25">
      <c r="A1227" s="175"/>
      <c r="B1227" s="170"/>
      <c r="C1227" s="210"/>
      <c r="D1227" s="170"/>
      <c r="E1227" s="176">
        <f t="shared" si="19"/>
        <v>662274.450000023</v>
      </c>
      <c r="F1227" s="179"/>
      <c r="G1227" s="179"/>
      <c r="H1227" s="179"/>
      <c r="I1227" s="179"/>
      <c r="J1227" s="179"/>
    </row>
    <row r="1228" spans="1:10" ht="15" customHeight="1" x14ac:dyDescent="0.25">
      <c r="A1228" s="175"/>
      <c r="B1228" s="170"/>
      <c r="C1228" s="210"/>
      <c r="D1228" s="170"/>
      <c r="E1228" s="176">
        <f t="shared" si="19"/>
        <v>662274.450000023</v>
      </c>
      <c r="F1228" s="179"/>
      <c r="G1228" s="179"/>
      <c r="H1228" s="179"/>
      <c r="I1228" s="179"/>
      <c r="J1228" s="179"/>
    </row>
    <row r="1229" spans="1:10" ht="15" customHeight="1" x14ac:dyDescent="0.25">
      <c r="A1229" s="175"/>
      <c r="B1229" s="170"/>
      <c r="C1229" s="210"/>
      <c r="D1229" s="170"/>
      <c r="E1229" s="176">
        <f t="shared" si="19"/>
        <v>662274.450000023</v>
      </c>
      <c r="F1229" s="179"/>
      <c r="G1229" s="179"/>
      <c r="H1229" s="179"/>
      <c r="I1229" s="179"/>
      <c r="J1229" s="179"/>
    </row>
    <row r="1230" spans="1:10" ht="15" customHeight="1" x14ac:dyDescent="0.25">
      <c r="A1230" s="175"/>
      <c r="B1230" s="170"/>
      <c r="C1230" s="210"/>
      <c r="D1230" s="170"/>
      <c r="E1230" s="176">
        <f t="shared" si="19"/>
        <v>662274.450000023</v>
      </c>
      <c r="F1230" s="179"/>
      <c r="G1230" s="179"/>
      <c r="H1230" s="179"/>
      <c r="I1230" s="179"/>
      <c r="J1230" s="179"/>
    </row>
    <row r="1231" spans="1:10" ht="15" customHeight="1" x14ac:dyDescent="0.25">
      <c r="A1231" s="175"/>
      <c r="B1231" s="170"/>
      <c r="C1231" s="210"/>
      <c r="D1231" s="170"/>
      <c r="E1231" s="176">
        <f t="shared" si="19"/>
        <v>662274.450000023</v>
      </c>
      <c r="F1231" s="179"/>
      <c r="G1231" s="179"/>
      <c r="H1231" s="179"/>
      <c r="I1231" s="179"/>
      <c r="J1231" s="179"/>
    </row>
    <row r="1232" spans="1:10" ht="15" customHeight="1" x14ac:dyDescent="0.25">
      <c r="A1232" s="175"/>
      <c r="B1232" s="170"/>
      <c r="C1232" s="210"/>
      <c r="D1232" s="170"/>
      <c r="E1232" s="176">
        <f t="shared" si="19"/>
        <v>662274.450000023</v>
      </c>
      <c r="F1232" s="179"/>
      <c r="G1232" s="179"/>
      <c r="H1232" s="179"/>
      <c r="I1232" s="179"/>
      <c r="J1232" s="179"/>
    </row>
    <row r="1233" spans="1:10" ht="15" customHeight="1" x14ac:dyDescent="0.25">
      <c r="A1233" s="175"/>
      <c r="B1233" s="170"/>
      <c r="C1233" s="210"/>
      <c r="D1233" s="170"/>
      <c r="E1233" s="176">
        <f t="shared" si="19"/>
        <v>662274.450000023</v>
      </c>
      <c r="F1233" s="179"/>
      <c r="G1233" s="179"/>
      <c r="H1233" s="179"/>
      <c r="I1233" s="179"/>
      <c r="J1233" s="179"/>
    </row>
    <row r="1234" spans="1:10" ht="15" customHeight="1" x14ac:dyDescent="0.25">
      <c r="A1234" s="175"/>
      <c r="B1234" s="170"/>
      <c r="C1234" s="210"/>
      <c r="D1234" s="170"/>
      <c r="E1234" s="176">
        <f t="shared" si="19"/>
        <v>662274.450000023</v>
      </c>
      <c r="F1234" s="179"/>
      <c r="G1234" s="179"/>
      <c r="H1234" s="179"/>
      <c r="I1234" s="179"/>
      <c r="J1234" s="179"/>
    </row>
    <row r="1235" spans="1:10" ht="15" customHeight="1" x14ac:dyDescent="0.25">
      <c r="A1235" s="175"/>
      <c r="B1235" s="170"/>
      <c r="C1235" s="210"/>
      <c r="D1235" s="170"/>
      <c r="E1235" s="176">
        <f t="shared" si="19"/>
        <v>662274.450000023</v>
      </c>
      <c r="F1235" s="179"/>
      <c r="G1235" s="179"/>
      <c r="H1235" s="179"/>
      <c r="I1235" s="179"/>
      <c r="J1235" s="179"/>
    </row>
    <row r="1236" spans="1:10" ht="15" customHeight="1" x14ac:dyDescent="0.25">
      <c r="A1236" s="175"/>
      <c r="B1236" s="170"/>
      <c r="C1236" s="210"/>
      <c r="D1236" s="170"/>
      <c r="E1236" s="176">
        <f t="shared" si="19"/>
        <v>662274.450000023</v>
      </c>
      <c r="F1236" s="179"/>
      <c r="G1236" s="179"/>
      <c r="H1236" s="179"/>
      <c r="I1236" s="179"/>
      <c r="J1236" s="179"/>
    </row>
    <row r="1237" spans="1:10" ht="15" customHeight="1" x14ac:dyDescent="0.25">
      <c r="A1237" s="175"/>
      <c r="B1237" s="170"/>
      <c r="C1237" s="210"/>
      <c r="D1237" s="170"/>
      <c r="E1237" s="176">
        <f t="shared" si="19"/>
        <v>662274.450000023</v>
      </c>
      <c r="F1237" s="179"/>
      <c r="G1237" s="179"/>
      <c r="H1237" s="179"/>
      <c r="I1237" s="179"/>
      <c r="J1237" s="179"/>
    </row>
    <row r="1238" spans="1:10" ht="15" customHeight="1" x14ac:dyDescent="0.25">
      <c r="A1238" s="175"/>
      <c r="B1238" s="170"/>
      <c r="C1238" s="210"/>
      <c r="D1238" s="170"/>
      <c r="E1238" s="176">
        <f t="shared" si="19"/>
        <v>662274.450000023</v>
      </c>
      <c r="F1238" s="179"/>
      <c r="G1238" s="179"/>
      <c r="H1238" s="179"/>
      <c r="I1238" s="179"/>
      <c r="J1238" s="179"/>
    </row>
    <row r="1239" spans="1:10" ht="15" customHeight="1" x14ac:dyDescent="0.25">
      <c r="A1239" s="175"/>
      <c r="B1239" s="170"/>
      <c r="C1239" s="210"/>
      <c r="D1239" s="170"/>
      <c r="E1239" s="176">
        <f t="shared" si="19"/>
        <v>662274.450000023</v>
      </c>
      <c r="F1239" s="179"/>
      <c r="G1239" s="179"/>
      <c r="H1239" s="179"/>
      <c r="I1239" s="179"/>
      <c r="J1239" s="179"/>
    </row>
    <row r="1240" spans="1:10" ht="15" customHeight="1" x14ac:dyDescent="0.25">
      <c r="A1240" s="175"/>
      <c r="B1240" s="170"/>
      <c r="C1240" s="210"/>
      <c r="D1240" s="170"/>
      <c r="E1240" s="176">
        <f t="shared" si="19"/>
        <v>662274.450000023</v>
      </c>
      <c r="F1240" s="179"/>
      <c r="G1240" s="179"/>
      <c r="H1240" s="179"/>
      <c r="I1240" s="179"/>
      <c r="J1240" s="179"/>
    </row>
    <row r="1241" spans="1:10" ht="15" customHeight="1" x14ac:dyDescent="0.25">
      <c r="A1241" s="175"/>
      <c r="B1241" s="170"/>
      <c r="C1241" s="210"/>
      <c r="D1241" s="170"/>
      <c r="E1241" s="176">
        <f t="shared" si="19"/>
        <v>662274.450000023</v>
      </c>
      <c r="F1241" s="179"/>
      <c r="G1241" s="179"/>
      <c r="H1241" s="179"/>
      <c r="I1241" s="179"/>
      <c r="J1241" s="179"/>
    </row>
    <row r="1242" spans="1:10" ht="15" customHeight="1" x14ac:dyDescent="0.25">
      <c r="A1242" s="175"/>
      <c r="B1242" s="170"/>
      <c r="C1242" s="210"/>
      <c r="D1242" s="170"/>
      <c r="E1242" s="176">
        <f t="shared" si="19"/>
        <v>662274.450000023</v>
      </c>
      <c r="F1242" s="179"/>
      <c r="G1242" s="179"/>
      <c r="H1242" s="179"/>
      <c r="I1242" s="179"/>
      <c r="J1242" s="179"/>
    </row>
    <row r="1243" spans="1:10" ht="15" customHeight="1" x14ac:dyDescent="0.25">
      <c r="A1243" s="175"/>
      <c r="B1243" s="170"/>
      <c r="C1243" s="210"/>
      <c r="D1243" s="170"/>
      <c r="E1243" s="176">
        <f t="shared" si="19"/>
        <v>662274.450000023</v>
      </c>
      <c r="F1243" s="179"/>
      <c r="G1243" s="179"/>
      <c r="H1243" s="179"/>
      <c r="I1243" s="179"/>
      <c r="J1243" s="179"/>
    </row>
    <row r="1244" spans="1:10" ht="15" customHeight="1" x14ac:dyDescent="0.25">
      <c r="A1244" s="175"/>
      <c r="B1244" s="170"/>
      <c r="C1244" s="210"/>
      <c r="D1244" s="170"/>
      <c r="E1244" s="176">
        <f t="shared" si="19"/>
        <v>662274.450000023</v>
      </c>
      <c r="F1244" s="179"/>
      <c r="G1244" s="179"/>
      <c r="H1244" s="179"/>
      <c r="I1244" s="179"/>
      <c r="J1244" s="179"/>
    </row>
    <row r="1245" spans="1:10" ht="15" customHeight="1" x14ac:dyDescent="0.25">
      <c r="A1245" s="175"/>
      <c r="B1245" s="170"/>
      <c r="C1245" s="210"/>
      <c r="D1245" s="170"/>
      <c r="E1245" s="176">
        <f t="shared" si="19"/>
        <v>662274.450000023</v>
      </c>
      <c r="F1245" s="179"/>
      <c r="G1245" s="179"/>
      <c r="H1245" s="179"/>
      <c r="I1245" s="179"/>
      <c r="J1245" s="179"/>
    </row>
    <row r="1246" spans="1:10" ht="15" customHeight="1" x14ac:dyDescent="0.25">
      <c r="A1246" s="175"/>
      <c r="B1246" s="170"/>
      <c r="C1246" s="210"/>
      <c r="D1246" s="170"/>
      <c r="E1246" s="176">
        <f t="shared" si="19"/>
        <v>662274.450000023</v>
      </c>
      <c r="F1246" s="173"/>
      <c r="G1246" s="199"/>
      <c r="H1246" s="192"/>
      <c r="I1246" s="197"/>
      <c r="J1246" s="179"/>
    </row>
    <row r="1247" spans="1:10" ht="15" customHeight="1" x14ac:dyDescent="0.25">
      <c r="A1247" s="175"/>
      <c r="B1247" s="170"/>
      <c r="C1247" s="210"/>
      <c r="D1247" s="170"/>
      <c r="E1247" s="176">
        <f t="shared" si="19"/>
        <v>662274.450000023</v>
      </c>
      <c r="F1247" s="179"/>
      <c r="G1247" s="179"/>
      <c r="H1247" s="179"/>
      <c r="I1247" s="179"/>
      <c r="J1247" s="179"/>
    </row>
    <row r="1248" spans="1:10" ht="15" customHeight="1" x14ac:dyDescent="0.25">
      <c r="A1248" s="175"/>
      <c r="B1248" s="170"/>
      <c r="C1248" s="210"/>
      <c r="D1248" s="170"/>
      <c r="E1248" s="176">
        <f t="shared" si="19"/>
        <v>662274.450000023</v>
      </c>
      <c r="F1248" s="179"/>
      <c r="G1248" s="179"/>
      <c r="H1248" s="179"/>
      <c r="I1248" s="179"/>
      <c r="J1248" s="179"/>
    </row>
    <row r="1249" spans="1:10" ht="15" customHeight="1" x14ac:dyDescent="0.25">
      <c r="A1249" s="175"/>
      <c r="B1249" s="170"/>
      <c r="C1249" s="210"/>
      <c r="D1249" s="170"/>
      <c r="E1249" s="176">
        <f t="shared" si="19"/>
        <v>662274.450000023</v>
      </c>
      <c r="F1249" s="179"/>
      <c r="G1249" s="179"/>
      <c r="H1249" s="179"/>
      <c r="I1249" s="179"/>
      <c r="J1249" s="179"/>
    </row>
    <row r="1250" spans="1:10" ht="15" customHeight="1" x14ac:dyDescent="0.25">
      <c r="A1250" s="175"/>
      <c r="B1250" s="170"/>
      <c r="C1250" s="210"/>
      <c r="D1250" s="170"/>
      <c r="E1250" s="176">
        <f t="shared" si="19"/>
        <v>662274.450000023</v>
      </c>
      <c r="F1250" s="179"/>
      <c r="G1250" s="179"/>
      <c r="H1250" s="179"/>
      <c r="I1250" s="179"/>
      <c r="J1250" s="179"/>
    </row>
    <row r="1251" spans="1:10" ht="15" customHeight="1" x14ac:dyDescent="0.25">
      <c r="A1251" s="175"/>
      <c r="B1251" s="170"/>
      <c r="C1251" s="210"/>
      <c r="D1251" s="170"/>
      <c r="E1251" s="176">
        <f t="shared" si="19"/>
        <v>662274.450000023</v>
      </c>
      <c r="F1251" s="179"/>
      <c r="G1251" s="179"/>
      <c r="H1251" s="179"/>
      <c r="I1251" s="179"/>
      <c r="J1251" s="179"/>
    </row>
    <row r="1252" spans="1:10" ht="15" customHeight="1" x14ac:dyDescent="0.25">
      <c r="A1252" s="175"/>
      <c r="B1252" s="170"/>
      <c r="C1252" s="210"/>
      <c r="D1252" s="170"/>
      <c r="E1252" s="176">
        <f t="shared" si="19"/>
        <v>662274.450000023</v>
      </c>
      <c r="F1252" s="179"/>
      <c r="G1252" s="179"/>
      <c r="H1252" s="179"/>
      <c r="I1252" s="179"/>
      <c r="J1252" s="179"/>
    </row>
    <row r="1253" spans="1:10" ht="15" customHeight="1" x14ac:dyDescent="0.25">
      <c r="A1253" s="175"/>
      <c r="B1253" s="170"/>
      <c r="C1253" s="210"/>
      <c r="D1253" s="170"/>
      <c r="E1253" s="176">
        <f t="shared" si="19"/>
        <v>662274.450000023</v>
      </c>
      <c r="F1253" s="179"/>
      <c r="G1253" s="179"/>
      <c r="H1253" s="179"/>
      <c r="I1253" s="179"/>
      <c r="J1253" s="179"/>
    </row>
    <row r="1254" spans="1:10" ht="15" customHeight="1" x14ac:dyDescent="0.25">
      <c r="A1254" s="175"/>
      <c r="B1254" s="170"/>
      <c r="C1254" s="210"/>
      <c r="D1254" s="170"/>
      <c r="E1254" s="176">
        <f t="shared" si="19"/>
        <v>662274.450000023</v>
      </c>
      <c r="F1254" s="179"/>
      <c r="G1254" s="179"/>
      <c r="H1254" s="179"/>
      <c r="I1254" s="179"/>
      <c r="J1254" s="179"/>
    </row>
    <row r="1255" spans="1:10" ht="15" customHeight="1" x14ac:dyDescent="0.25">
      <c r="A1255" s="175"/>
      <c r="B1255" s="170"/>
      <c r="C1255" s="210"/>
      <c r="D1255" s="170"/>
      <c r="E1255" s="176">
        <f t="shared" si="19"/>
        <v>662274.450000023</v>
      </c>
      <c r="F1255" s="179"/>
      <c r="G1255" s="179"/>
      <c r="H1255" s="179"/>
      <c r="I1255" s="179"/>
      <c r="J1255" s="179"/>
    </row>
    <row r="1256" spans="1:10" ht="15" customHeight="1" x14ac:dyDescent="0.25">
      <c r="A1256" s="175"/>
      <c r="B1256" s="170"/>
      <c r="C1256" s="210"/>
      <c r="D1256" s="170"/>
      <c r="E1256" s="176">
        <f t="shared" si="19"/>
        <v>662274.450000023</v>
      </c>
      <c r="F1256" s="179"/>
      <c r="G1256" s="179"/>
      <c r="H1256" s="179"/>
      <c r="I1256" s="179"/>
      <c r="J1256" s="179"/>
    </row>
    <row r="1257" spans="1:10" ht="15" customHeight="1" x14ac:dyDescent="0.25">
      <c r="A1257" s="175"/>
      <c r="B1257" s="170"/>
      <c r="C1257" s="210"/>
      <c r="D1257" s="170"/>
      <c r="E1257" s="176">
        <f t="shared" si="19"/>
        <v>662274.450000023</v>
      </c>
      <c r="F1257" s="179"/>
      <c r="G1257" s="179"/>
      <c r="H1257" s="179"/>
      <c r="I1257" s="179"/>
      <c r="J1257" s="179"/>
    </row>
    <row r="1258" spans="1:10" ht="15" customHeight="1" x14ac:dyDescent="0.25">
      <c r="A1258" s="175"/>
      <c r="B1258" s="170"/>
      <c r="C1258" s="210"/>
      <c r="D1258" s="170"/>
      <c r="E1258" s="176">
        <f t="shared" si="19"/>
        <v>662274.450000023</v>
      </c>
      <c r="F1258" s="179"/>
      <c r="G1258" s="179"/>
      <c r="H1258" s="179"/>
      <c r="I1258" s="179"/>
      <c r="J1258" s="179"/>
    </row>
    <row r="1259" spans="1:10" ht="15" customHeight="1" x14ac:dyDescent="0.25">
      <c r="A1259" s="175"/>
      <c r="B1259" s="170"/>
      <c r="C1259" s="210"/>
      <c r="D1259" s="170"/>
      <c r="E1259" s="176">
        <f t="shared" si="19"/>
        <v>662274.450000023</v>
      </c>
      <c r="F1259" s="179"/>
      <c r="G1259" s="179"/>
      <c r="H1259" s="179"/>
      <c r="I1259" s="179"/>
      <c r="J1259" s="179"/>
    </row>
    <row r="1260" spans="1:10" ht="15" customHeight="1" x14ac:dyDescent="0.25">
      <c r="A1260" s="175"/>
      <c r="B1260" s="170"/>
      <c r="C1260" s="210"/>
      <c r="D1260" s="170"/>
      <c r="E1260" s="176">
        <f t="shared" si="19"/>
        <v>662274.450000023</v>
      </c>
      <c r="F1260" s="179"/>
      <c r="G1260" s="179"/>
      <c r="H1260" s="179"/>
      <c r="I1260" s="179"/>
      <c r="J1260" s="179"/>
    </row>
    <row r="1261" spans="1:10" ht="15" customHeight="1" x14ac:dyDescent="0.25">
      <c r="A1261" s="175"/>
      <c r="B1261" s="170"/>
      <c r="C1261" s="210"/>
      <c r="D1261" s="170"/>
      <c r="E1261" s="176">
        <f t="shared" si="19"/>
        <v>662274.450000023</v>
      </c>
      <c r="F1261" s="179"/>
      <c r="G1261" s="179"/>
      <c r="H1261" s="179"/>
      <c r="I1261" s="179"/>
      <c r="J1261" s="179"/>
    </row>
    <row r="1262" spans="1:10" ht="15" customHeight="1" x14ac:dyDescent="0.25">
      <c r="A1262" s="175"/>
      <c r="B1262" s="170"/>
      <c r="C1262" s="210"/>
      <c r="D1262" s="170"/>
      <c r="E1262" s="176">
        <f t="shared" si="19"/>
        <v>662274.450000023</v>
      </c>
      <c r="F1262" s="179"/>
      <c r="G1262" s="179"/>
      <c r="H1262" s="179"/>
      <c r="I1262" s="179"/>
      <c r="J1262" s="179"/>
    </row>
    <row r="1263" spans="1:10" ht="15" customHeight="1" x14ac:dyDescent="0.25">
      <c r="A1263" s="175"/>
      <c r="B1263" s="170"/>
      <c r="C1263" s="210"/>
      <c r="D1263" s="170"/>
      <c r="E1263" s="176">
        <f t="shared" si="19"/>
        <v>662274.450000023</v>
      </c>
      <c r="F1263" s="179"/>
      <c r="G1263" s="179"/>
      <c r="H1263" s="179"/>
      <c r="I1263" s="179"/>
      <c r="J1263" s="179"/>
    </row>
    <row r="1264" spans="1:10" ht="15" customHeight="1" x14ac:dyDescent="0.25">
      <c r="A1264" s="175"/>
      <c r="B1264" s="170"/>
      <c r="C1264" s="210"/>
      <c r="D1264" s="170"/>
      <c r="E1264" s="176">
        <f t="shared" si="19"/>
        <v>662274.450000023</v>
      </c>
      <c r="F1264" s="179"/>
      <c r="G1264" s="179"/>
      <c r="H1264" s="179"/>
      <c r="I1264" s="179"/>
      <c r="J1264" s="179"/>
    </row>
    <row r="1265" spans="1:10" ht="15" customHeight="1" x14ac:dyDescent="0.25">
      <c r="A1265" s="175"/>
      <c r="B1265" s="170"/>
      <c r="C1265" s="210"/>
      <c r="D1265" s="170"/>
      <c r="E1265" s="176">
        <f t="shared" si="19"/>
        <v>662274.450000023</v>
      </c>
      <c r="F1265" s="179"/>
      <c r="G1265" s="179"/>
      <c r="H1265" s="179"/>
      <c r="I1265" s="179"/>
      <c r="J1265" s="179"/>
    </row>
    <row r="1266" spans="1:10" ht="15" customHeight="1" x14ac:dyDescent="0.25">
      <c r="A1266" s="175"/>
      <c r="B1266" s="170"/>
      <c r="C1266" s="210"/>
      <c r="D1266" s="170"/>
      <c r="E1266" s="176">
        <f t="shared" si="19"/>
        <v>662274.450000023</v>
      </c>
      <c r="F1266" s="226"/>
      <c r="G1266" s="179"/>
      <c r="H1266" s="179"/>
      <c r="I1266" s="179"/>
      <c r="J1266" s="179"/>
    </row>
    <row r="1267" spans="1:10" ht="15" customHeight="1" x14ac:dyDescent="0.25">
      <c r="A1267" s="175"/>
      <c r="B1267" s="170"/>
      <c r="C1267" s="210"/>
      <c r="D1267" s="170"/>
      <c r="E1267" s="176">
        <f t="shared" si="19"/>
        <v>662274.450000023</v>
      </c>
      <c r="F1267" s="179"/>
      <c r="G1267" s="179"/>
      <c r="H1267" s="179"/>
      <c r="I1267" s="179"/>
      <c r="J1267" s="179"/>
    </row>
    <row r="1268" spans="1:10" ht="15" customHeight="1" x14ac:dyDescent="0.25">
      <c r="A1268" s="175"/>
      <c r="B1268" s="170"/>
      <c r="C1268" s="210"/>
      <c r="D1268" s="170"/>
      <c r="E1268" s="176">
        <f t="shared" si="19"/>
        <v>662274.450000023</v>
      </c>
      <c r="F1268" s="179"/>
      <c r="G1268" s="179"/>
      <c r="H1268" s="179"/>
      <c r="I1268" s="179"/>
      <c r="J1268" s="179"/>
    </row>
    <row r="1269" spans="1:10" ht="15" customHeight="1" x14ac:dyDescent="0.25">
      <c r="A1269" s="175"/>
      <c r="B1269" s="170"/>
      <c r="C1269" s="210"/>
      <c r="D1269" s="170"/>
      <c r="E1269" s="176">
        <f t="shared" si="19"/>
        <v>662274.450000023</v>
      </c>
      <c r="F1269" s="179"/>
      <c r="G1269" s="179"/>
      <c r="H1269" s="179"/>
      <c r="I1269" s="179"/>
      <c r="J1269" s="179"/>
    </row>
    <row r="1270" spans="1:10" ht="15" customHeight="1" x14ac:dyDescent="0.25">
      <c r="A1270" s="175"/>
      <c r="B1270" s="170"/>
      <c r="C1270" s="210"/>
      <c r="D1270" s="170"/>
      <c r="E1270" s="176">
        <f t="shared" si="19"/>
        <v>662274.450000023</v>
      </c>
      <c r="F1270" s="179"/>
      <c r="G1270" s="179"/>
      <c r="H1270" s="179"/>
      <c r="I1270" s="179"/>
      <c r="J1270" s="179"/>
    </row>
    <row r="1271" spans="1:10" ht="15" customHeight="1" x14ac:dyDescent="0.25">
      <c r="A1271" s="175"/>
      <c r="B1271" s="170"/>
      <c r="C1271" s="210"/>
      <c r="D1271" s="170"/>
      <c r="E1271" s="176">
        <f t="shared" si="19"/>
        <v>662274.450000023</v>
      </c>
      <c r="F1271" s="179"/>
      <c r="G1271" s="179"/>
      <c r="H1271" s="179"/>
      <c r="I1271" s="179"/>
      <c r="J1271" s="179"/>
    </row>
    <row r="1272" spans="1:10" ht="15" customHeight="1" x14ac:dyDescent="0.25">
      <c r="A1272" s="175"/>
      <c r="B1272" s="170"/>
      <c r="C1272" s="210"/>
      <c r="D1272" s="170"/>
      <c r="E1272" s="176">
        <f t="shared" si="19"/>
        <v>662274.450000023</v>
      </c>
      <c r="F1272" s="179"/>
      <c r="G1272" s="179"/>
      <c r="H1272" s="179"/>
      <c r="I1272" s="179"/>
      <c r="J1272" s="179"/>
    </row>
    <row r="1273" spans="1:10" ht="15" customHeight="1" x14ac:dyDescent="0.25">
      <c r="A1273" s="175"/>
      <c r="B1273" s="170"/>
      <c r="C1273" s="210"/>
      <c r="D1273" s="170"/>
      <c r="E1273" s="176">
        <f t="shared" si="19"/>
        <v>662274.450000023</v>
      </c>
      <c r="F1273" s="179"/>
      <c r="G1273" s="179"/>
      <c r="H1273" s="179"/>
      <c r="I1273" s="179"/>
      <c r="J1273" s="179"/>
    </row>
    <row r="1274" spans="1:10" ht="15" customHeight="1" x14ac:dyDescent="0.25">
      <c r="A1274" s="175"/>
      <c r="B1274" s="170"/>
      <c r="C1274" s="210"/>
      <c r="D1274" s="170"/>
      <c r="E1274" s="176">
        <f t="shared" si="19"/>
        <v>662274.450000023</v>
      </c>
      <c r="F1274" s="179"/>
      <c r="G1274" s="179"/>
      <c r="H1274" s="179"/>
      <c r="I1274" s="179"/>
      <c r="J1274" s="179"/>
    </row>
    <row r="1275" spans="1:10" ht="15" customHeight="1" x14ac:dyDescent="0.25">
      <c r="A1275" s="175"/>
      <c r="B1275" s="170"/>
      <c r="C1275" s="210"/>
      <c r="D1275" s="170"/>
      <c r="E1275" s="176">
        <f t="shared" si="19"/>
        <v>662274.450000023</v>
      </c>
      <c r="F1275" s="204"/>
      <c r="G1275" s="181"/>
      <c r="H1275" s="205"/>
      <c r="I1275" s="181"/>
      <c r="J1275" s="206"/>
    </row>
    <row r="1276" spans="1:10" ht="15" customHeight="1" x14ac:dyDescent="0.25">
      <c r="A1276" s="175"/>
      <c r="B1276" s="170"/>
      <c r="C1276" s="210"/>
      <c r="D1276" s="170"/>
      <c r="E1276" s="176">
        <f t="shared" si="19"/>
        <v>662274.450000023</v>
      </c>
      <c r="F1276" s="179"/>
      <c r="G1276" s="179"/>
      <c r="H1276" s="179"/>
      <c r="I1276" s="179"/>
      <c r="J1276" s="179"/>
    </row>
    <row r="1277" spans="1:10" ht="15" customHeight="1" x14ac:dyDescent="0.25">
      <c r="A1277" s="175"/>
      <c r="B1277" s="170"/>
      <c r="C1277" s="210"/>
      <c r="D1277" s="170"/>
      <c r="E1277" s="176">
        <f t="shared" si="19"/>
        <v>662274.450000023</v>
      </c>
      <c r="F1277" s="173"/>
      <c r="G1277" s="174"/>
      <c r="H1277" s="177"/>
      <c r="I1277" s="179"/>
      <c r="J1277" s="179"/>
    </row>
    <row r="1278" spans="1:10" ht="15" customHeight="1" x14ac:dyDescent="0.25">
      <c r="A1278" s="175"/>
      <c r="B1278" s="170"/>
      <c r="C1278" s="210"/>
      <c r="D1278" s="170"/>
      <c r="E1278" s="176">
        <f t="shared" si="19"/>
        <v>662274.450000023</v>
      </c>
      <c r="F1278" s="179"/>
      <c r="G1278" s="179"/>
      <c r="H1278" s="179"/>
      <c r="I1278" s="179"/>
      <c r="J1278" s="179"/>
    </row>
    <row r="1279" spans="1:10" ht="15" customHeight="1" x14ac:dyDescent="0.25">
      <c r="A1279" s="175"/>
      <c r="B1279" s="170"/>
      <c r="C1279" s="210"/>
      <c r="D1279" s="170"/>
      <c r="E1279" s="176">
        <f t="shared" si="19"/>
        <v>662274.450000023</v>
      </c>
      <c r="F1279" s="179"/>
      <c r="G1279" s="179"/>
      <c r="H1279" s="179"/>
      <c r="I1279" s="179"/>
      <c r="J1279" s="179"/>
    </row>
    <row r="1280" spans="1:10" ht="15" customHeight="1" x14ac:dyDescent="0.25">
      <c r="A1280" s="175"/>
      <c r="B1280" s="170"/>
      <c r="C1280" s="210"/>
      <c r="D1280" s="170"/>
      <c r="E1280" s="176">
        <f t="shared" si="19"/>
        <v>662274.450000023</v>
      </c>
      <c r="F1280" s="179"/>
      <c r="G1280" s="179"/>
      <c r="H1280" s="179"/>
      <c r="I1280" s="179"/>
      <c r="J1280" s="179"/>
    </row>
    <row r="1281" spans="1:10" ht="15" customHeight="1" x14ac:dyDescent="0.25">
      <c r="A1281" s="175"/>
      <c r="B1281" s="170"/>
      <c r="C1281" s="210"/>
      <c r="D1281" s="170"/>
      <c r="E1281" s="176">
        <f t="shared" si="19"/>
        <v>662274.450000023</v>
      </c>
      <c r="F1281" s="204"/>
      <c r="G1281" s="181"/>
      <c r="H1281" s="205"/>
      <c r="I1281" s="181"/>
      <c r="J1281" s="206"/>
    </row>
    <row r="1282" spans="1:10" ht="15" customHeight="1" x14ac:dyDescent="0.25">
      <c r="A1282" s="175"/>
      <c r="B1282" s="170"/>
      <c r="C1282" s="210"/>
      <c r="D1282" s="170"/>
      <c r="E1282" s="176">
        <f t="shared" si="19"/>
        <v>662274.450000023</v>
      </c>
      <c r="F1282" s="179"/>
      <c r="G1282" s="179"/>
      <c r="H1282" s="179"/>
      <c r="I1282" s="179"/>
      <c r="J1282" s="179"/>
    </row>
    <row r="1283" spans="1:10" ht="15" customHeight="1" x14ac:dyDescent="0.25">
      <c r="A1283" s="175"/>
      <c r="B1283" s="170"/>
      <c r="C1283" s="210"/>
      <c r="D1283" s="170"/>
      <c r="E1283" s="176">
        <f t="shared" si="19"/>
        <v>662274.450000023</v>
      </c>
      <c r="F1283" s="179"/>
      <c r="G1283" s="179"/>
      <c r="H1283" s="179"/>
      <c r="I1283" s="179"/>
      <c r="J1283" s="179"/>
    </row>
    <row r="1284" spans="1:10" ht="15" customHeight="1" x14ac:dyDescent="0.25">
      <c r="A1284" s="175"/>
      <c r="B1284" s="170"/>
      <c r="C1284" s="210"/>
      <c r="D1284" s="170"/>
      <c r="E1284" s="176">
        <f t="shared" si="19"/>
        <v>662274.450000023</v>
      </c>
      <c r="F1284" s="179"/>
      <c r="G1284" s="179"/>
      <c r="H1284" s="179"/>
      <c r="I1284" s="179"/>
      <c r="J1284" s="179"/>
    </row>
    <row r="1285" spans="1:10" ht="15" customHeight="1" x14ac:dyDescent="0.25">
      <c r="A1285" s="175"/>
      <c r="B1285" s="170"/>
      <c r="C1285" s="210"/>
      <c r="D1285" s="170"/>
      <c r="E1285" s="176">
        <f t="shared" si="19"/>
        <v>662274.450000023</v>
      </c>
      <c r="F1285" s="179"/>
      <c r="G1285" s="179"/>
      <c r="H1285" s="179"/>
      <c r="I1285" s="179"/>
      <c r="J1285" s="179"/>
    </row>
    <row r="1286" spans="1:10" ht="15" customHeight="1" x14ac:dyDescent="0.25">
      <c r="A1286" s="175"/>
      <c r="B1286" s="170"/>
      <c r="C1286" s="210"/>
      <c r="D1286" s="170"/>
      <c r="E1286" s="176">
        <f t="shared" si="19"/>
        <v>662274.450000023</v>
      </c>
      <c r="F1286" s="179"/>
      <c r="G1286" s="179"/>
      <c r="H1286" s="179"/>
      <c r="I1286" s="179"/>
      <c r="J1286" s="179"/>
    </row>
    <row r="1287" spans="1:10" ht="15" customHeight="1" x14ac:dyDescent="0.25">
      <c r="A1287" s="175"/>
      <c r="B1287" s="170"/>
      <c r="C1287" s="210"/>
      <c r="D1287" s="170"/>
      <c r="E1287" s="176">
        <f t="shared" si="19"/>
        <v>662274.450000023</v>
      </c>
      <c r="F1287" s="179"/>
      <c r="G1287" s="179"/>
      <c r="H1287" s="179"/>
      <c r="I1287" s="179"/>
      <c r="J1287" s="179"/>
    </row>
    <row r="1288" spans="1:10" ht="15" customHeight="1" x14ac:dyDescent="0.25">
      <c r="A1288" s="175"/>
      <c r="B1288" s="170"/>
      <c r="C1288" s="210"/>
      <c r="D1288" s="170"/>
      <c r="E1288" s="176">
        <f t="shared" ref="E1288:E1351" si="20">E1287-C1288+D1288</f>
        <v>662274.450000023</v>
      </c>
      <c r="F1288" s="179"/>
      <c r="G1288" s="179"/>
      <c r="H1288" s="179"/>
      <c r="I1288" s="179"/>
      <c r="J1288" s="179"/>
    </row>
    <row r="1289" spans="1:10" ht="15" customHeight="1" x14ac:dyDescent="0.25">
      <c r="A1289" s="175"/>
      <c r="B1289" s="170"/>
      <c r="C1289" s="210"/>
      <c r="D1289" s="170"/>
      <c r="E1289" s="176">
        <f t="shared" si="20"/>
        <v>662274.450000023</v>
      </c>
      <c r="F1289" s="179"/>
      <c r="G1289" s="179"/>
      <c r="H1289" s="179"/>
      <c r="I1289" s="179"/>
      <c r="J1289" s="179"/>
    </row>
    <row r="1290" spans="1:10" ht="15" customHeight="1" x14ac:dyDescent="0.25">
      <c r="A1290" s="175"/>
      <c r="B1290" s="170"/>
      <c r="C1290" s="210"/>
      <c r="D1290" s="170"/>
      <c r="E1290" s="176">
        <f t="shared" si="20"/>
        <v>662274.450000023</v>
      </c>
      <c r="F1290" s="179"/>
      <c r="G1290" s="179"/>
      <c r="H1290" s="179"/>
      <c r="I1290" s="179"/>
      <c r="J1290" s="179"/>
    </row>
    <row r="1291" spans="1:10" ht="15" customHeight="1" x14ac:dyDescent="0.25">
      <c r="A1291" s="175"/>
      <c r="B1291" s="170"/>
      <c r="C1291" s="210"/>
      <c r="D1291" s="170"/>
      <c r="E1291" s="176">
        <f t="shared" si="20"/>
        <v>662274.450000023</v>
      </c>
      <c r="F1291" s="179"/>
      <c r="G1291" s="179"/>
      <c r="H1291" s="179"/>
      <c r="I1291" s="179"/>
      <c r="J1291" s="179"/>
    </row>
    <row r="1292" spans="1:10" ht="15" customHeight="1" x14ac:dyDescent="0.25">
      <c r="A1292" s="175"/>
      <c r="B1292" s="170"/>
      <c r="C1292" s="210"/>
      <c r="D1292" s="170"/>
      <c r="E1292" s="176">
        <f t="shared" si="20"/>
        <v>662274.450000023</v>
      </c>
      <c r="F1292" s="179"/>
      <c r="G1292" s="179"/>
      <c r="H1292" s="179"/>
      <c r="I1292" s="179"/>
      <c r="J1292" s="179"/>
    </row>
    <row r="1293" spans="1:10" ht="15" customHeight="1" x14ac:dyDescent="0.25">
      <c r="A1293" s="175"/>
      <c r="B1293" s="170"/>
      <c r="C1293" s="210"/>
      <c r="D1293" s="170"/>
      <c r="E1293" s="176">
        <f t="shared" si="20"/>
        <v>662274.450000023</v>
      </c>
      <c r="F1293" s="179"/>
      <c r="G1293" s="179"/>
      <c r="H1293" s="179"/>
      <c r="I1293" s="179"/>
      <c r="J1293" s="179"/>
    </row>
    <row r="1294" spans="1:10" ht="15" customHeight="1" x14ac:dyDescent="0.25">
      <c r="A1294" s="175"/>
      <c r="B1294" s="170"/>
      <c r="C1294" s="210"/>
      <c r="D1294" s="170"/>
      <c r="E1294" s="176">
        <f t="shared" si="20"/>
        <v>662274.450000023</v>
      </c>
      <c r="F1294" s="179"/>
      <c r="G1294" s="179"/>
      <c r="H1294" s="179"/>
      <c r="I1294" s="179"/>
      <c r="J1294" s="179"/>
    </row>
    <row r="1295" spans="1:10" ht="15" customHeight="1" x14ac:dyDescent="0.25">
      <c r="A1295" s="175"/>
      <c r="B1295" s="170"/>
      <c r="C1295" s="210"/>
      <c r="D1295" s="170"/>
      <c r="E1295" s="176">
        <f t="shared" si="20"/>
        <v>662274.450000023</v>
      </c>
      <c r="F1295" s="179"/>
      <c r="G1295" s="179"/>
      <c r="H1295" s="179"/>
      <c r="I1295" s="179"/>
      <c r="J1295" s="179"/>
    </row>
    <row r="1296" spans="1:10" ht="15" customHeight="1" x14ac:dyDescent="0.25">
      <c r="A1296" s="175"/>
      <c r="B1296" s="170"/>
      <c r="C1296" s="210"/>
      <c r="D1296" s="170"/>
      <c r="E1296" s="176">
        <f t="shared" si="20"/>
        <v>662274.450000023</v>
      </c>
      <c r="F1296" s="179"/>
      <c r="G1296" s="179"/>
      <c r="H1296" s="179"/>
      <c r="I1296" s="179"/>
      <c r="J1296" s="179"/>
    </row>
    <row r="1297" spans="1:10" ht="15" customHeight="1" x14ac:dyDescent="0.25">
      <c r="A1297" s="175"/>
      <c r="B1297" s="170"/>
      <c r="C1297" s="210"/>
      <c r="D1297" s="170"/>
      <c r="E1297" s="176">
        <f t="shared" si="20"/>
        <v>662274.450000023</v>
      </c>
      <c r="F1297" s="179"/>
      <c r="G1297" s="179"/>
      <c r="H1297" s="179"/>
      <c r="I1297" s="179"/>
      <c r="J1297" s="179"/>
    </row>
    <row r="1298" spans="1:10" ht="15" customHeight="1" x14ac:dyDescent="0.25">
      <c r="A1298" s="175"/>
      <c r="B1298" s="170"/>
      <c r="C1298" s="210"/>
      <c r="D1298" s="170"/>
      <c r="E1298" s="176">
        <f t="shared" si="20"/>
        <v>662274.450000023</v>
      </c>
      <c r="F1298" s="179"/>
      <c r="G1298" s="179"/>
      <c r="H1298" s="179"/>
      <c r="I1298" s="179"/>
      <c r="J1298" s="179"/>
    </row>
    <row r="1299" spans="1:10" ht="15" customHeight="1" x14ac:dyDescent="0.25">
      <c r="A1299" s="175"/>
      <c r="B1299" s="170"/>
      <c r="C1299" s="210"/>
      <c r="D1299" s="170"/>
      <c r="E1299" s="176">
        <f t="shared" si="20"/>
        <v>662274.450000023</v>
      </c>
      <c r="F1299" s="179"/>
      <c r="G1299" s="179"/>
      <c r="H1299" s="179"/>
      <c r="I1299" s="179"/>
      <c r="J1299" s="179"/>
    </row>
    <row r="1300" spans="1:10" ht="15" customHeight="1" x14ac:dyDescent="0.25">
      <c r="A1300" s="175"/>
      <c r="B1300" s="170"/>
      <c r="C1300" s="210"/>
      <c r="D1300" s="170"/>
      <c r="E1300" s="176">
        <f t="shared" si="20"/>
        <v>662274.450000023</v>
      </c>
      <c r="F1300" s="173"/>
      <c r="G1300" s="199"/>
      <c r="H1300" s="203"/>
      <c r="I1300" s="222"/>
      <c r="J1300" s="174"/>
    </row>
    <row r="1301" spans="1:10" ht="15" customHeight="1" x14ac:dyDescent="0.25">
      <c r="A1301" s="175"/>
      <c r="B1301" s="170"/>
      <c r="C1301" s="210"/>
      <c r="D1301" s="170"/>
      <c r="E1301" s="176">
        <f t="shared" si="20"/>
        <v>662274.450000023</v>
      </c>
      <c r="F1301" s="173"/>
      <c r="G1301" s="199"/>
      <c r="H1301" s="203"/>
      <c r="I1301" s="222"/>
      <c r="J1301" s="179"/>
    </row>
    <row r="1302" spans="1:10" ht="15" customHeight="1" x14ac:dyDescent="0.25">
      <c r="A1302" s="175"/>
      <c r="B1302" s="170"/>
      <c r="C1302" s="210"/>
      <c r="D1302" s="170"/>
      <c r="E1302" s="176">
        <f t="shared" si="20"/>
        <v>662274.450000023</v>
      </c>
      <c r="F1302" s="179"/>
      <c r="G1302" s="179"/>
      <c r="H1302" s="179"/>
      <c r="I1302" s="179"/>
      <c r="J1302" s="179"/>
    </row>
    <row r="1303" spans="1:10" ht="15" customHeight="1" x14ac:dyDescent="0.25">
      <c r="A1303" s="175"/>
      <c r="B1303" s="170"/>
      <c r="C1303" s="170"/>
      <c r="D1303" s="210"/>
      <c r="E1303" s="176">
        <f t="shared" si="20"/>
        <v>662274.450000023</v>
      </c>
      <c r="F1303" s="179"/>
      <c r="G1303" s="179"/>
      <c r="H1303" s="179"/>
      <c r="I1303" s="179"/>
      <c r="J1303" s="179"/>
    </row>
    <row r="1304" spans="1:10" ht="15" customHeight="1" x14ac:dyDescent="0.25">
      <c r="A1304" s="175"/>
      <c r="B1304" s="170"/>
      <c r="C1304" s="170"/>
      <c r="D1304" s="210"/>
      <c r="E1304" s="176">
        <f t="shared" si="20"/>
        <v>662274.450000023</v>
      </c>
      <c r="F1304" s="179"/>
      <c r="G1304" s="179"/>
      <c r="H1304" s="179"/>
      <c r="I1304" s="179"/>
      <c r="J1304" s="179"/>
    </row>
    <row r="1305" spans="1:10" ht="15" customHeight="1" x14ac:dyDescent="0.25">
      <c r="A1305" s="175"/>
      <c r="B1305" s="170"/>
      <c r="C1305" s="210"/>
      <c r="D1305" s="170"/>
      <c r="E1305" s="176">
        <f t="shared" si="20"/>
        <v>662274.450000023</v>
      </c>
      <c r="F1305" s="179"/>
      <c r="G1305" s="179"/>
      <c r="H1305" s="179"/>
      <c r="I1305" s="179"/>
      <c r="J1305" s="179"/>
    </row>
    <row r="1306" spans="1:10" ht="15" customHeight="1" x14ac:dyDescent="0.25">
      <c r="A1306" s="175"/>
      <c r="B1306" s="170"/>
      <c r="C1306" s="210"/>
      <c r="D1306" s="170"/>
      <c r="E1306" s="176">
        <f t="shared" si="20"/>
        <v>662274.450000023</v>
      </c>
      <c r="F1306" s="179"/>
      <c r="G1306" s="179"/>
      <c r="H1306" s="179"/>
      <c r="I1306" s="179"/>
      <c r="J1306" s="179"/>
    </row>
    <row r="1307" spans="1:10" ht="15" customHeight="1" x14ac:dyDescent="0.25">
      <c r="A1307" s="175"/>
      <c r="B1307" s="170"/>
      <c r="C1307" s="210"/>
      <c r="D1307" s="170"/>
      <c r="E1307" s="176">
        <f t="shared" si="20"/>
        <v>662274.450000023</v>
      </c>
      <c r="F1307" s="204"/>
      <c r="G1307" s="181"/>
      <c r="H1307" s="205"/>
      <c r="I1307" s="181"/>
      <c r="J1307" s="206"/>
    </row>
    <row r="1308" spans="1:10" ht="15" customHeight="1" x14ac:dyDescent="0.25">
      <c r="A1308" s="138"/>
      <c r="B1308" s="30"/>
      <c r="C1308" s="130"/>
      <c r="D1308" s="127"/>
      <c r="E1308" s="176">
        <f t="shared" si="20"/>
        <v>662274.450000023</v>
      </c>
    </row>
    <row r="1309" spans="1:10" ht="15" customHeight="1" x14ac:dyDescent="0.25">
      <c r="A1309" s="138"/>
      <c r="B1309" s="30"/>
      <c r="C1309" s="130"/>
      <c r="D1309" s="127"/>
      <c r="E1309" s="176">
        <f t="shared" si="20"/>
        <v>662274.450000023</v>
      </c>
    </row>
    <row r="1310" spans="1:10" ht="15" customHeight="1" x14ac:dyDescent="0.25">
      <c r="A1310" s="138"/>
      <c r="B1310" s="30"/>
      <c r="C1310" s="130"/>
      <c r="D1310" s="127"/>
      <c r="E1310" s="176">
        <f t="shared" si="20"/>
        <v>662274.450000023</v>
      </c>
    </row>
    <row r="1311" spans="1:10" ht="15" customHeight="1" x14ac:dyDescent="0.25">
      <c r="A1311" s="138"/>
      <c r="B1311" s="30"/>
      <c r="C1311" s="130"/>
      <c r="D1311" s="127"/>
      <c r="E1311" s="176">
        <f t="shared" si="20"/>
        <v>662274.450000023</v>
      </c>
    </row>
    <row r="1312" spans="1:10" ht="15" customHeight="1" x14ac:dyDescent="0.25">
      <c r="A1312" s="138"/>
      <c r="B1312" s="30"/>
      <c r="C1312" s="130"/>
      <c r="D1312" s="127"/>
      <c r="E1312" s="176">
        <f t="shared" si="20"/>
        <v>662274.450000023</v>
      </c>
    </row>
    <row r="1313" spans="1:10" ht="15" customHeight="1" x14ac:dyDescent="0.25">
      <c r="A1313" s="138"/>
      <c r="B1313" s="30"/>
      <c r="C1313" s="130"/>
      <c r="D1313" s="127"/>
      <c r="E1313" s="176">
        <f t="shared" si="20"/>
        <v>662274.450000023</v>
      </c>
    </row>
    <row r="1314" spans="1:10" ht="15" customHeight="1" x14ac:dyDescent="0.25">
      <c r="A1314" s="138"/>
      <c r="B1314" s="30"/>
      <c r="C1314" s="130"/>
      <c r="D1314" s="127"/>
      <c r="E1314" s="176">
        <f t="shared" si="20"/>
        <v>662274.450000023</v>
      </c>
    </row>
    <row r="1315" spans="1:10" ht="15" customHeight="1" x14ac:dyDescent="0.25">
      <c r="A1315" s="138"/>
      <c r="B1315" s="30"/>
      <c r="C1315" s="130"/>
      <c r="D1315" s="127"/>
      <c r="E1315" s="176">
        <f t="shared" si="20"/>
        <v>662274.450000023</v>
      </c>
    </row>
    <row r="1316" spans="1:10" ht="15" customHeight="1" x14ac:dyDescent="0.25">
      <c r="A1316" s="138"/>
      <c r="B1316" s="30"/>
      <c r="C1316" s="130"/>
      <c r="D1316" s="127"/>
      <c r="E1316" s="176">
        <f t="shared" si="20"/>
        <v>662274.450000023</v>
      </c>
    </row>
    <row r="1317" spans="1:10" ht="15" customHeight="1" x14ac:dyDescent="0.25">
      <c r="A1317" s="138"/>
      <c r="B1317" s="30"/>
      <c r="C1317" s="130"/>
      <c r="D1317" s="127"/>
      <c r="E1317" s="176">
        <f t="shared" si="20"/>
        <v>662274.450000023</v>
      </c>
    </row>
    <row r="1318" spans="1:10" ht="15" customHeight="1" x14ac:dyDescent="0.25">
      <c r="A1318" s="138"/>
      <c r="B1318" s="30"/>
      <c r="C1318" s="130"/>
      <c r="D1318" s="127"/>
      <c r="E1318" s="176">
        <f t="shared" si="20"/>
        <v>662274.450000023</v>
      </c>
    </row>
    <row r="1319" spans="1:10" ht="15" customHeight="1" x14ac:dyDescent="0.25">
      <c r="A1319" s="138"/>
      <c r="B1319" s="30"/>
      <c r="C1319" s="130"/>
      <c r="D1319" s="127"/>
      <c r="E1319" s="176">
        <f t="shared" si="20"/>
        <v>662274.450000023</v>
      </c>
    </row>
    <row r="1320" spans="1:10" ht="15" customHeight="1" x14ac:dyDescent="0.25">
      <c r="A1320" s="138"/>
      <c r="B1320" s="30"/>
      <c r="C1320" s="130"/>
      <c r="D1320" s="127"/>
      <c r="E1320" s="176">
        <f t="shared" si="20"/>
        <v>662274.450000023</v>
      </c>
    </row>
    <row r="1321" spans="1:10" ht="15" customHeight="1" x14ac:dyDescent="0.25">
      <c r="A1321" s="138"/>
      <c r="B1321" s="30"/>
      <c r="C1321" s="130"/>
      <c r="D1321" s="127"/>
      <c r="E1321" s="176">
        <f t="shared" si="20"/>
        <v>662274.450000023</v>
      </c>
    </row>
    <row r="1322" spans="1:10" ht="15" customHeight="1" x14ac:dyDescent="0.25">
      <c r="A1322" s="138"/>
      <c r="B1322" s="30"/>
      <c r="C1322" s="130"/>
      <c r="D1322" s="127"/>
      <c r="E1322" s="176">
        <f t="shared" si="20"/>
        <v>662274.450000023</v>
      </c>
    </row>
    <row r="1323" spans="1:10" ht="15" customHeight="1" x14ac:dyDescent="0.25">
      <c r="A1323" s="138"/>
      <c r="B1323" s="30"/>
      <c r="C1323" s="130"/>
      <c r="D1323" s="127"/>
      <c r="E1323" s="176">
        <f t="shared" si="20"/>
        <v>662274.450000023</v>
      </c>
    </row>
    <row r="1324" spans="1:10" ht="15" customHeight="1" x14ac:dyDescent="0.25">
      <c r="A1324" s="138"/>
      <c r="B1324" s="30"/>
      <c r="C1324" s="130"/>
      <c r="D1324" s="127"/>
      <c r="E1324" s="176">
        <f t="shared" si="20"/>
        <v>662274.450000023</v>
      </c>
    </row>
    <row r="1325" spans="1:10" ht="15" customHeight="1" x14ac:dyDescent="0.25">
      <c r="A1325" s="138"/>
      <c r="B1325" s="30"/>
      <c r="C1325" s="130"/>
      <c r="D1325" s="127"/>
      <c r="E1325" s="176">
        <f t="shared" si="20"/>
        <v>662274.450000023</v>
      </c>
    </row>
    <row r="1326" spans="1:10" ht="15" customHeight="1" x14ac:dyDescent="0.25">
      <c r="A1326" s="138"/>
      <c r="B1326" s="30"/>
      <c r="C1326" s="130"/>
      <c r="D1326" s="127"/>
      <c r="E1326" s="176">
        <f t="shared" si="20"/>
        <v>662274.450000023</v>
      </c>
      <c r="F1326" s="72"/>
      <c r="G1326" s="36"/>
      <c r="H1326" s="69"/>
      <c r="I1326" s="36"/>
      <c r="J1326" s="79"/>
    </row>
    <row r="1327" spans="1:10" ht="15" customHeight="1" x14ac:dyDescent="0.25">
      <c r="A1327" s="138"/>
      <c r="B1327" s="30"/>
      <c r="C1327" s="130"/>
      <c r="D1327" s="127"/>
      <c r="E1327" s="176">
        <f t="shared" si="20"/>
        <v>662274.450000023</v>
      </c>
    </row>
    <row r="1328" spans="1:10" ht="15" customHeight="1" x14ac:dyDescent="0.25">
      <c r="A1328" s="138"/>
      <c r="B1328" s="30"/>
      <c r="C1328" s="130"/>
      <c r="D1328" s="127"/>
      <c r="E1328" s="176">
        <f t="shared" si="20"/>
        <v>662274.450000023</v>
      </c>
      <c r="F1328" s="43"/>
      <c r="G1328" s="86"/>
      <c r="H1328" s="87"/>
      <c r="I1328" s="91"/>
    </row>
    <row r="1329" spans="1:9" ht="15" customHeight="1" x14ac:dyDescent="0.25">
      <c r="A1329" s="138"/>
      <c r="B1329" s="30"/>
      <c r="C1329" s="130"/>
      <c r="D1329" s="127"/>
      <c r="E1329" s="176">
        <f t="shared" si="20"/>
        <v>662274.450000023</v>
      </c>
      <c r="F1329" s="43"/>
      <c r="G1329" s="86"/>
      <c r="H1329" s="87"/>
      <c r="I1329" s="91"/>
    </row>
    <row r="1330" spans="1:9" ht="15" customHeight="1" x14ac:dyDescent="0.25">
      <c r="A1330" s="138"/>
      <c r="B1330" s="30"/>
      <c r="C1330" s="130"/>
      <c r="D1330" s="127"/>
      <c r="E1330" s="176">
        <f t="shared" si="20"/>
        <v>662274.450000023</v>
      </c>
    </row>
    <row r="1331" spans="1:9" ht="15" customHeight="1" x14ac:dyDescent="0.25">
      <c r="A1331" s="138"/>
      <c r="B1331" s="30"/>
      <c r="C1331" s="130"/>
      <c r="D1331" s="127"/>
      <c r="E1331" s="176">
        <f t="shared" si="20"/>
        <v>662274.450000023</v>
      </c>
    </row>
    <row r="1332" spans="1:9" ht="15" customHeight="1" x14ac:dyDescent="0.25">
      <c r="A1332" s="138"/>
      <c r="B1332" s="30"/>
      <c r="C1332" s="130"/>
      <c r="D1332" s="127"/>
      <c r="E1332" s="176">
        <f t="shared" si="20"/>
        <v>662274.450000023</v>
      </c>
      <c r="F1332" s="92"/>
    </row>
    <row r="1333" spans="1:9" ht="15" customHeight="1" x14ac:dyDescent="0.25">
      <c r="A1333" s="138"/>
      <c r="B1333" s="30"/>
      <c r="C1333" s="130"/>
      <c r="D1333" s="127"/>
      <c r="E1333" s="176">
        <f t="shared" si="20"/>
        <v>662274.450000023</v>
      </c>
      <c r="F1333" s="92"/>
    </row>
    <row r="1334" spans="1:9" ht="15" customHeight="1" x14ac:dyDescent="0.25">
      <c r="A1334" s="138"/>
      <c r="B1334" s="30"/>
      <c r="C1334" s="130"/>
      <c r="D1334" s="127"/>
      <c r="E1334" s="176">
        <f t="shared" si="20"/>
        <v>662274.450000023</v>
      </c>
      <c r="F1334" s="92"/>
    </row>
    <row r="1335" spans="1:9" ht="15" customHeight="1" x14ac:dyDescent="0.25">
      <c r="A1335" s="138"/>
      <c r="B1335" s="30"/>
      <c r="C1335" s="130"/>
      <c r="D1335" s="127"/>
      <c r="E1335" s="176">
        <f t="shared" si="20"/>
        <v>662274.450000023</v>
      </c>
    </row>
    <row r="1336" spans="1:9" ht="15" customHeight="1" x14ac:dyDescent="0.25">
      <c r="A1336" s="138"/>
      <c r="B1336" s="30"/>
      <c r="C1336" s="130"/>
      <c r="D1336" s="127"/>
      <c r="E1336" s="176">
        <f t="shared" si="20"/>
        <v>662274.450000023</v>
      </c>
    </row>
    <row r="1337" spans="1:9" ht="15" customHeight="1" x14ac:dyDescent="0.25">
      <c r="A1337" s="138"/>
      <c r="B1337" s="30"/>
      <c r="C1337" s="130"/>
      <c r="D1337" s="127"/>
      <c r="E1337" s="176">
        <f t="shared" si="20"/>
        <v>662274.450000023</v>
      </c>
    </row>
    <row r="1338" spans="1:9" ht="15" customHeight="1" x14ac:dyDescent="0.25">
      <c r="A1338" s="138"/>
      <c r="B1338" s="30"/>
      <c r="C1338" s="130"/>
      <c r="D1338" s="127"/>
      <c r="E1338" s="176">
        <f t="shared" si="20"/>
        <v>662274.450000023</v>
      </c>
    </row>
    <row r="1339" spans="1:9" ht="15" customHeight="1" x14ac:dyDescent="0.25">
      <c r="A1339" s="138"/>
      <c r="B1339" s="30"/>
      <c r="C1339" s="130"/>
      <c r="D1339" s="127"/>
      <c r="E1339" s="176">
        <f t="shared" si="20"/>
        <v>662274.450000023</v>
      </c>
    </row>
    <row r="1340" spans="1:9" ht="15" customHeight="1" x14ac:dyDescent="0.25">
      <c r="A1340" s="138"/>
      <c r="B1340" s="30"/>
      <c r="C1340" s="130"/>
      <c r="D1340" s="127"/>
      <c r="E1340" s="176">
        <f t="shared" si="20"/>
        <v>662274.450000023</v>
      </c>
    </row>
    <row r="1341" spans="1:9" ht="15" customHeight="1" x14ac:dyDescent="0.25">
      <c r="A1341" s="138"/>
      <c r="B1341" s="30"/>
      <c r="C1341" s="130"/>
      <c r="D1341" s="127"/>
      <c r="E1341" s="176">
        <f t="shared" si="20"/>
        <v>662274.450000023</v>
      </c>
    </row>
    <row r="1342" spans="1:9" ht="15" customHeight="1" x14ac:dyDescent="0.25">
      <c r="A1342" s="138"/>
      <c r="B1342" s="30"/>
      <c r="C1342" s="130"/>
      <c r="D1342" s="127"/>
      <c r="E1342" s="176">
        <f t="shared" si="20"/>
        <v>662274.450000023</v>
      </c>
    </row>
    <row r="1343" spans="1:9" ht="15" customHeight="1" x14ac:dyDescent="0.25">
      <c r="A1343" s="138"/>
      <c r="B1343" s="30"/>
      <c r="C1343" s="130"/>
      <c r="D1343" s="127"/>
      <c r="E1343" s="176">
        <f t="shared" si="20"/>
        <v>662274.450000023</v>
      </c>
    </row>
    <row r="1344" spans="1:9" ht="15" customHeight="1" x14ac:dyDescent="0.25">
      <c r="A1344" s="138"/>
      <c r="B1344" s="30"/>
      <c r="C1344" s="130"/>
      <c r="D1344" s="127"/>
      <c r="E1344" s="176">
        <f t="shared" si="20"/>
        <v>662274.450000023</v>
      </c>
    </row>
    <row r="1345" spans="1:5" ht="15" customHeight="1" x14ac:dyDescent="0.25">
      <c r="A1345" s="138"/>
      <c r="B1345" s="30"/>
      <c r="C1345" s="130"/>
      <c r="D1345" s="127"/>
      <c r="E1345" s="176">
        <f t="shared" si="20"/>
        <v>662274.450000023</v>
      </c>
    </row>
    <row r="1346" spans="1:5" ht="15" customHeight="1" x14ac:dyDescent="0.25">
      <c r="A1346" s="138"/>
      <c r="B1346" s="30"/>
      <c r="C1346" s="130"/>
      <c r="D1346" s="127"/>
      <c r="E1346" s="176">
        <f t="shared" si="20"/>
        <v>662274.450000023</v>
      </c>
    </row>
    <row r="1347" spans="1:5" ht="15" customHeight="1" x14ac:dyDescent="0.25">
      <c r="A1347" s="138"/>
      <c r="B1347" s="30"/>
      <c r="C1347" s="130"/>
      <c r="D1347" s="127"/>
      <c r="E1347" s="176">
        <f t="shared" si="20"/>
        <v>662274.450000023</v>
      </c>
    </row>
    <row r="1348" spans="1:5" ht="15" customHeight="1" x14ac:dyDescent="0.25">
      <c r="A1348" s="138"/>
      <c r="B1348" s="30"/>
      <c r="C1348" s="130"/>
      <c r="D1348" s="127"/>
      <c r="E1348" s="176">
        <f t="shared" si="20"/>
        <v>662274.450000023</v>
      </c>
    </row>
    <row r="1349" spans="1:5" ht="15" customHeight="1" x14ac:dyDescent="0.25">
      <c r="A1349" s="138"/>
      <c r="B1349" s="30"/>
      <c r="C1349" s="130"/>
      <c r="D1349" s="127"/>
      <c r="E1349" s="176">
        <f t="shared" si="20"/>
        <v>662274.450000023</v>
      </c>
    </row>
    <row r="1350" spans="1:5" ht="15" customHeight="1" x14ac:dyDescent="0.25">
      <c r="A1350" s="138"/>
      <c r="B1350" s="30"/>
      <c r="C1350" s="130"/>
      <c r="D1350" s="127"/>
      <c r="E1350" s="176">
        <f t="shared" si="20"/>
        <v>662274.450000023</v>
      </c>
    </row>
    <row r="1351" spans="1:5" ht="15" customHeight="1" x14ac:dyDescent="0.25">
      <c r="A1351" s="138"/>
      <c r="B1351" s="30"/>
      <c r="C1351" s="130"/>
      <c r="D1351" s="127"/>
      <c r="E1351" s="176">
        <f t="shared" si="20"/>
        <v>662274.450000023</v>
      </c>
    </row>
    <row r="1352" spans="1:5" ht="15" customHeight="1" x14ac:dyDescent="0.25">
      <c r="A1352" s="138"/>
      <c r="B1352" s="30"/>
      <c r="C1352" s="130"/>
      <c r="D1352" s="127"/>
      <c r="E1352" s="176">
        <f t="shared" ref="E1352:E1414" si="21">E1351-C1352+D1352</f>
        <v>662274.450000023</v>
      </c>
    </row>
    <row r="1353" spans="1:5" ht="15" customHeight="1" x14ac:dyDescent="0.25">
      <c r="A1353" s="138"/>
      <c r="B1353" s="30"/>
      <c r="C1353" s="130"/>
      <c r="D1353" s="127"/>
      <c r="E1353" s="176">
        <f t="shared" si="21"/>
        <v>662274.450000023</v>
      </c>
    </row>
    <row r="1354" spans="1:5" ht="15" customHeight="1" x14ac:dyDescent="0.25">
      <c r="A1354" s="138"/>
      <c r="B1354" s="30"/>
      <c r="C1354" s="130"/>
      <c r="D1354" s="127"/>
      <c r="E1354" s="176">
        <f t="shared" si="21"/>
        <v>662274.450000023</v>
      </c>
    </row>
    <row r="1355" spans="1:5" ht="15" customHeight="1" x14ac:dyDescent="0.25">
      <c r="A1355" s="138"/>
      <c r="B1355" s="30"/>
      <c r="C1355" s="130"/>
      <c r="D1355" s="127"/>
      <c r="E1355" s="176">
        <f t="shared" si="21"/>
        <v>662274.450000023</v>
      </c>
    </row>
    <row r="1356" spans="1:5" ht="15" customHeight="1" x14ac:dyDescent="0.25">
      <c r="A1356" s="138"/>
      <c r="B1356" s="30"/>
      <c r="C1356" s="130"/>
      <c r="D1356" s="127"/>
      <c r="E1356" s="176">
        <f t="shared" si="21"/>
        <v>662274.450000023</v>
      </c>
    </row>
    <row r="1357" spans="1:5" ht="15" customHeight="1" x14ac:dyDescent="0.25">
      <c r="A1357" s="138"/>
      <c r="B1357" s="30"/>
      <c r="C1357" s="130"/>
      <c r="D1357" s="127"/>
      <c r="E1357" s="176">
        <f t="shared" si="21"/>
        <v>662274.450000023</v>
      </c>
    </row>
    <row r="1358" spans="1:5" ht="15" customHeight="1" x14ac:dyDescent="0.25">
      <c r="A1358" s="138"/>
      <c r="B1358" s="30"/>
      <c r="C1358" s="130"/>
      <c r="D1358" s="127"/>
      <c r="E1358" s="176">
        <f t="shared" si="21"/>
        <v>662274.450000023</v>
      </c>
    </row>
    <row r="1359" spans="1:5" ht="15" customHeight="1" x14ac:dyDescent="0.25">
      <c r="A1359" s="138"/>
      <c r="B1359" s="30"/>
      <c r="C1359" s="130"/>
      <c r="D1359" s="127"/>
      <c r="E1359" s="176">
        <f t="shared" si="21"/>
        <v>662274.450000023</v>
      </c>
    </row>
    <row r="1360" spans="1:5" ht="15" customHeight="1" x14ac:dyDescent="0.25">
      <c r="A1360" s="138"/>
      <c r="B1360" s="30"/>
      <c r="C1360" s="130"/>
      <c r="D1360" s="127"/>
      <c r="E1360" s="176">
        <f t="shared" si="21"/>
        <v>662274.450000023</v>
      </c>
    </row>
    <row r="1361" spans="1:10" ht="15" customHeight="1" x14ac:dyDescent="0.25">
      <c r="A1361" s="138"/>
      <c r="B1361" s="30"/>
      <c r="C1361" s="130"/>
      <c r="D1361" s="127"/>
      <c r="E1361" s="176">
        <f t="shared" si="21"/>
        <v>662274.450000023</v>
      </c>
    </row>
    <row r="1362" spans="1:10" ht="15" customHeight="1" x14ac:dyDescent="0.25">
      <c r="A1362" s="138"/>
      <c r="B1362" s="30"/>
      <c r="C1362" s="130"/>
      <c r="D1362" s="127"/>
      <c r="E1362" s="176">
        <f t="shared" si="21"/>
        <v>662274.450000023</v>
      </c>
    </row>
    <row r="1363" spans="1:10" ht="15" customHeight="1" x14ac:dyDescent="0.25">
      <c r="A1363" s="138"/>
      <c r="B1363" s="30"/>
      <c r="C1363" s="130"/>
      <c r="D1363" s="127"/>
      <c r="E1363" s="176">
        <f t="shared" si="21"/>
        <v>662274.450000023</v>
      </c>
    </row>
    <row r="1364" spans="1:10" ht="15" customHeight="1" x14ac:dyDescent="0.25">
      <c r="A1364" s="138"/>
      <c r="B1364" s="30"/>
      <c r="C1364" s="130"/>
      <c r="D1364" s="127"/>
      <c r="E1364" s="176">
        <f t="shared" si="21"/>
        <v>662274.450000023</v>
      </c>
    </row>
    <row r="1365" spans="1:10" ht="15" customHeight="1" x14ac:dyDescent="0.25">
      <c r="A1365" s="138"/>
      <c r="B1365" s="30"/>
      <c r="C1365" s="130"/>
      <c r="D1365" s="127"/>
      <c r="E1365" s="176">
        <f t="shared" si="21"/>
        <v>662274.450000023</v>
      </c>
    </row>
    <row r="1366" spans="1:10" ht="15" customHeight="1" x14ac:dyDescent="0.25">
      <c r="A1366" s="138"/>
      <c r="B1366" s="30"/>
      <c r="C1366" s="130"/>
      <c r="D1366" s="127"/>
      <c r="E1366" s="176">
        <f t="shared" si="21"/>
        <v>662274.450000023</v>
      </c>
    </row>
    <row r="1367" spans="1:10" ht="15" customHeight="1" x14ac:dyDescent="0.25">
      <c r="A1367" s="138"/>
      <c r="B1367" s="30"/>
      <c r="C1367" s="130"/>
      <c r="D1367" s="127"/>
      <c r="E1367" s="176">
        <f t="shared" si="21"/>
        <v>662274.450000023</v>
      </c>
    </row>
    <row r="1368" spans="1:10" ht="15" customHeight="1" x14ac:dyDescent="0.25">
      <c r="A1368" s="138"/>
      <c r="B1368" s="30"/>
      <c r="C1368" s="130"/>
      <c r="D1368" s="127"/>
      <c r="E1368" s="176">
        <f t="shared" si="21"/>
        <v>662274.450000023</v>
      </c>
    </row>
    <row r="1369" spans="1:10" ht="15" customHeight="1" x14ac:dyDescent="0.25">
      <c r="A1369" s="138"/>
      <c r="B1369" s="30"/>
      <c r="C1369" s="130"/>
      <c r="D1369" s="127"/>
      <c r="E1369" s="176">
        <f t="shared" si="21"/>
        <v>662274.450000023</v>
      </c>
    </row>
    <row r="1370" spans="1:10" ht="15" customHeight="1" x14ac:dyDescent="0.25">
      <c r="A1370" s="138"/>
      <c r="B1370" s="30"/>
      <c r="C1370" s="130"/>
      <c r="D1370" s="127"/>
      <c r="E1370" s="176">
        <f t="shared" si="21"/>
        <v>662274.450000023</v>
      </c>
    </row>
    <row r="1371" spans="1:10" ht="15" customHeight="1" x14ac:dyDescent="0.25">
      <c r="A1371" s="138"/>
      <c r="B1371" s="30"/>
      <c r="C1371" s="130"/>
      <c r="D1371" s="127"/>
      <c r="E1371" s="176">
        <f t="shared" si="21"/>
        <v>662274.450000023</v>
      </c>
    </row>
    <row r="1372" spans="1:10" ht="15" customHeight="1" x14ac:dyDescent="0.25">
      <c r="A1372" s="138"/>
      <c r="B1372" s="30"/>
      <c r="C1372" s="130"/>
      <c r="D1372" s="127"/>
      <c r="E1372" s="176">
        <f t="shared" si="21"/>
        <v>662274.450000023</v>
      </c>
    </row>
    <row r="1373" spans="1:10" ht="15" customHeight="1" x14ac:dyDescent="0.25">
      <c r="A1373" s="138"/>
      <c r="B1373" s="30"/>
      <c r="C1373" s="130"/>
      <c r="D1373" s="127"/>
      <c r="E1373" s="176">
        <f t="shared" si="21"/>
        <v>662274.450000023</v>
      </c>
    </row>
    <row r="1374" spans="1:10" ht="15" customHeight="1" x14ac:dyDescent="0.25">
      <c r="A1374" s="138"/>
      <c r="B1374" s="30"/>
      <c r="C1374" s="130"/>
      <c r="D1374" s="127"/>
      <c r="E1374" s="176">
        <f t="shared" si="21"/>
        <v>662274.450000023</v>
      </c>
    </row>
    <row r="1375" spans="1:10" ht="15" customHeight="1" x14ac:dyDescent="0.25">
      <c r="A1375" s="138"/>
      <c r="B1375" s="30"/>
      <c r="C1375" s="130"/>
      <c r="D1375" s="127"/>
      <c r="E1375" s="176">
        <f t="shared" si="21"/>
        <v>662274.450000023</v>
      </c>
    </row>
    <row r="1376" spans="1:10" ht="15" customHeight="1" x14ac:dyDescent="0.25">
      <c r="A1376" s="138"/>
      <c r="B1376" s="30"/>
      <c r="C1376" s="130"/>
      <c r="D1376" s="127"/>
      <c r="E1376" s="176">
        <f t="shared" si="21"/>
        <v>662274.450000023</v>
      </c>
      <c r="F1376" s="72"/>
      <c r="G1376" s="36"/>
      <c r="H1376" s="69"/>
      <c r="I1376" s="36"/>
      <c r="J1376" s="79"/>
    </row>
    <row r="1377" spans="1:10" ht="15" customHeight="1" x14ac:dyDescent="0.25">
      <c r="A1377" s="138"/>
      <c r="B1377" s="30"/>
      <c r="C1377" s="130"/>
      <c r="D1377" s="127"/>
      <c r="E1377" s="176">
        <f t="shared" si="21"/>
        <v>662274.450000023</v>
      </c>
    </row>
    <row r="1378" spans="1:10" ht="15" customHeight="1" x14ac:dyDescent="0.25">
      <c r="A1378" s="138"/>
      <c r="B1378" s="30"/>
      <c r="C1378" s="130"/>
      <c r="D1378" s="127"/>
      <c r="E1378" s="176">
        <f t="shared" si="21"/>
        <v>662274.450000023</v>
      </c>
    </row>
    <row r="1379" spans="1:10" ht="15" customHeight="1" x14ac:dyDescent="0.25">
      <c r="A1379" s="138"/>
      <c r="B1379" s="30"/>
      <c r="C1379" s="130"/>
      <c r="D1379" s="127"/>
      <c r="E1379" s="176">
        <f t="shared" si="21"/>
        <v>662274.450000023</v>
      </c>
    </row>
    <row r="1380" spans="1:10" ht="15" customHeight="1" x14ac:dyDescent="0.25">
      <c r="A1380" s="138"/>
      <c r="B1380" s="30"/>
      <c r="C1380" s="130"/>
      <c r="D1380" s="127"/>
      <c r="E1380" s="176">
        <f t="shared" si="21"/>
        <v>662274.450000023</v>
      </c>
    </row>
    <row r="1381" spans="1:10" ht="15" customHeight="1" x14ac:dyDescent="0.25">
      <c r="A1381" s="138"/>
      <c r="B1381" s="30"/>
      <c r="C1381" s="130"/>
      <c r="D1381" s="127"/>
      <c r="E1381" s="176">
        <f t="shared" si="21"/>
        <v>662274.450000023</v>
      </c>
    </row>
    <row r="1382" spans="1:10" ht="15" customHeight="1" x14ac:dyDescent="0.25">
      <c r="A1382" s="138"/>
      <c r="B1382" s="30"/>
      <c r="C1382" s="130"/>
      <c r="D1382" s="127"/>
      <c r="E1382" s="176">
        <f t="shared" si="21"/>
        <v>662274.450000023</v>
      </c>
    </row>
    <row r="1383" spans="1:10" ht="15" customHeight="1" x14ac:dyDescent="0.25">
      <c r="A1383" s="138"/>
      <c r="B1383" s="30"/>
      <c r="C1383" s="130"/>
      <c r="D1383" s="127"/>
      <c r="E1383" s="176">
        <f t="shared" si="21"/>
        <v>662274.450000023</v>
      </c>
    </row>
    <row r="1384" spans="1:10" ht="15" customHeight="1" x14ac:dyDescent="0.25">
      <c r="A1384" s="138"/>
      <c r="B1384" s="30"/>
      <c r="C1384" s="130"/>
      <c r="D1384" s="127"/>
      <c r="E1384" s="176">
        <f t="shared" si="21"/>
        <v>662274.450000023</v>
      </c>
    </row>
    <row r="1385" spans="1:10" ht="15" customHeight="1" x14ac:dyDescent="0.25">
      <c r="A1385" s="138"/>
      <c r="B1385" s="30"/>
      <c r="C1385" s="130"/>
      <c r="D1385" s="127"/>
      <c r="E1385" s="176">
        <f t="shared" si="21"/>
        <v>662274.450000023</v>
      </c>
    </row>
    <row r="1386" spans="1:10" ht="15" customHeight="1" x14ac:dyDescent="0.25">
      <c r="A1386" s="138"/>
      <c r="B1386" s="30"/>
      <c r="C1386" s="130"/>
      <c r="D1386" s="127"/>
      <c r="E1386" s="176">
        <f t="shared" si="21"/>
        <v>662274.450000023</v>
      </c>
    </row>
    <row r="1387" spans="1:10" ht="15" customHeight="1" x14ac:dyDescent="0.25">
      <c r="A1387" s="138"/>
      <c r="B1387" s="30"/>
      <c r="C1387" s="130"/>
      <c r="D1387" s="127"/>
      <c r="E1387" s="176">
        <f t="shared" si="21"/>
        <v>662274.450000023</v>
      </c>
    </row>
    <row r="1388" spans="1:10" ht="15" customHeight="1" x14ac:dyDescent="0.25">
      <c r="A1388" s="138"/>
      <c r="B1388" s="30"/>
      <c r="C1388" s="130"/>
      <c r="D1388" s="127"/>
      <c r="E1388" s="176">
        <f t="shared" si="21"/>
        <v>662274.450000023</v>
      </c>
    </row>
    <row r="1389" spans="1:10" ht="15" customHeight="1" x14ac:dyDescent="0.25">
      <c r="A1389" s="138"/>
      <c r="B1389" s="30"/>
      <c r="C1389" s="127"/>
      <c r="D1389" s="127"/>
      <c r="E1389" s="176">
        <f t="shared" si="21"/>
        <v>662274.450000023</v>
      </c>
    </row>
    <row r="1390" spans="1:10" ht="15" customHeight="1" x14ac:dyDescent="0.25">
      <c r="A1390" s="138"/>
      <c r="B1390" s="30"/>
      <c r="C1390" s="127"/>
      <c r="D1390" s="127"/>
      <c r="E1390" s="176">
        <f t="shared" si="21"/>
        <v>662274.450000023</v>
      </c>
      <c r="F1390" s="89"/>
      <c r="G1390" s="44"/>
      <c r="H1390" s="90"/>
      <c r="I1390" s="44"/>
      <c r="J1390" s="88"/>
    </row>
    <row r="1391" spans="1:10" ht="15" customHeight="1" x14ac:dyDescent="0.25">
      <c r="A1391" s="138"/>
      <c r="B1391" s="30"/>
      <c r="C1391" s="127"/>
      <c r="D1391" s="127"/>
      <c r="E1391" s="176">
        <f t="shared" si="21"/>
        <v>662274.450000023</v>
      </c>
    </row>
    <row r="1392" spans="1:10" ht="15" customHeight="1" x14ac:dyDescent="0.25">
      <c r="A1392" s="138"/>
      <c r="B1392" s="30"/>
      <c r="C1392" s="127"/>
      <c r="D1392" s="127"/>
      <c r="E1392" s="176">
        <f t="shared" si="21"/>
        <v>662274.450000023</v>
      </c>
    </row>
    <row r="1393" spans="1:5" ht="15" customHeight="1" x14ac:dyDescent="0.25">
      <c r="A1393" s="138"/>
      <c r="B1393" s="30"/>
      <c r="C1393" s="127"/>
      <c r="D1393" s="127"/>
      <c r="E1393" s="176">
        <f t="shared" si="21"/>
        <v>662274.450000023</v>
      </c>
    </row>
    <row r="1394" spans="1:5" ht="15" customHeight="1" x14ac:dyDescent="0.25">
      <c r="A1394" s="138"/>
      <c r="B1394" s="30"/>
      <c r="C1394" s="127"/>
      <c r="D1394" s="127"/>
      <c r="E1394" s="176">
        <f t="shared" si="21"/>
        <v>662274.450000023</v>
      </c>
    </row>
    <row r="1395" spans="1:5" ht="15" customHeight="1" x14ac:dyDescent="0.25">
      <c r="A1395" s="138"/>
      <c r="B1395" s="30"/>
      <c r="C1395" s="127"/>
      <c r="D1395" s="127"/>
      <c r="E1395" s="176">
        <f t="shared" si="21"/>
        <v>662274.450000023</v>
      </c>
    </row>
    <row r="1396" spans="1:5" ht="15" customHeight="1" x14ac:dyDescent="0.25">
      <c r="A1396" s="138"/>
      <c r="B1396" s="30"/>
      <c r="C1396" s="127"/>
      <c r="D1396" s="127"/>
      <c r="E1396" s="176">
        <f t="shared" si="21"/>
        <v>662274.450000023</v>
      </c>
    </row>
    <row r="1397" spans="1:5" ht="15" customHeight="1" x14ac:dyDescent="0.25">
      <c r="A1397" s="138"/>
      <c r="B1397" s="30"/>
      <c r="C1397" s="127"/>
      <c r="D1397" s="127"/>
      <c r="E1397" s="176">
        <f t="shared" si="21"/>
        <v>662274.450000023</v>
      </c>
    </row>
    <row r="1398" spans="1:5" ht="15" customHeight="1" x14ac:dyDescent="0.25">
      <c r="A1398" s="138"/>
      <c r="B1398" s="30"/>
      <c r="C1398" s="127"/>
      <c r="D1398" s="127"/>
      <c r="E1398" s="176">
        <f t="shared" si="21"/>
        <v>662274.450000023</v>
      </c>
    </row>
    <row r="1399" spans="1:5" ht="15" customHeight="1" x14ac:dyDescent="0.25">
      <c r="A1399" s="138"/>
      <c r="B1399" s="30"/>
      <c r="C1399" s="127"/>
      <c r="D1399" s="127"/>
      <c r="E1399" s="176">
        <f t="shared" si="21"/>
        <v>662274.450000023</v>
      </c>
    </row>
    <row r="1400" spans="1:5" ht="15" customHeight="1" x14ac:dyDescent="0.25">
      <c r="A1400" s="138"/>
      <c r="B1400" s="30"/>
      <c r="C1400" s="127"/>
      <c r="D1400" s="127"/>
      <c r="E1400" s="176">
        <f t="shared" si="21"/>
        <v>662274.450000023</v>
      </c>
    </row>
    <row r="1401" spans="1:5" ht="15" customHeight="1" x14ac:dyDescent="0.25">
      <c r="A1401" s="138"/>
      <c r="B1401" s="30"/>
      <c r="C1401" s="127"/>
      <c r="D1401" s="127"/>
      <c r="E1401" s="176">
        <f t="shared" si="21"/>
        <v>662274.450000023</v>
      </c>
    </row>
    <row r="1402" spans="1:5" ht="15" customHeight="1" x14ac:dyDescent="0.25">
      <c r="A1402" s="138"/>
      <c r="B1402" s="30"/>
      <c r="C1402" s="127"/>
      <c r="D1402" s="127"/>
      <c r="E1402" s="176">
        <f t="shared" si="21"/>
        <v>662274.450000023</v>
      </c>
    </row>
    <row r="1403" spans="1:5" ht="15" customHeight="1" x14ac:dyDescent="0.25">
      <c r="A1403" s="138"/>
      <c r="B1403" s="30"/>
      <c r="C1403" s="127"/>
      <c r="D1403" s="127"/>
      <c r="E1403" s="176">
        <f t="shared" si="21"/>
        <v>662274.450000023</v>
      </c>
    </row>
    <row r="1404" spans="1:5" ht="15" customHeight="1" x14ac:dyDescent="0.25">
      <c r="A1404" s="138"/>
      <c r="B1404" s="30"/>
      <c r="C1404" s="127"/>
      <c r="D1404" s="127"/>
      <c r="E1404" s="176">
        <f t="shared" si="21"/>
        <v>662274.450000023</v>
      </c>
    </row>
    <row r="1405" spans="1:5" ht="15" customHeight="1" x14ac:dyDescent="0.25">
      <c r="A1405" s="138"/>
      <c r="B1405" s="30"/>
      <c r="C1405" s="127"/>
      <c r="D1405" s="127"/>
      <c r="E1405" s="176">
        <f t="shared" si="21"/>
        <v>662274.450000023</v>
      </c>
    </row>
    <row r="1406" spans="1:5" ht="15" customHeight="1" x14ac:dyDescent="0.25">
      <c r="A1406" s="138"/>
      <c r="B1406" s="30"/>
      <c r="C1406" s="127"/>
      <c r="D1406" s="127"/>
      <c r="E1406" s="176">
        <f t="shared" si="21"/>
        <v>662274.450000023</v>
      </c>
    </row>
    <row r="1407" spans="1:5" ht="15" customHeight="1" x14ac:dyDescent="0.25">
      <c r="A1407" s="138"/>
      <c r="B1407" s="30"/>
      <c r="C1407" s="127"/>
      <c r="D1407" s="127"/>
      <c r="E1407" s="176">
        <f t="shared" si="21"/>
        <v>662274.450000023</v>
      </c>
    </row>
    <row r="1408" spans="1:5" ht="15" customHeight="1" x14ac:dyDescent="0.25">
      <c r="A1408" s="138"/>
      <c r="B1408" s="30"/>
      <c r="C1408" s="127"/>
      <c r="D1408" s="127"/>
      <c r="E1408" s="176">
        <f t="shared" si="21"/>
        <v>662274.450000023</v>
      </c>
    </row>
    <row r="1409" spans="1:10" ht="15" customHeight="1" x14ac:dyDescent="0.25">
      <c r="A1409" s="138"/>
      <c r="B1409" s="30"/>
      <c r="C1409" s="127"/>
      <c r="D1409" s="127"/>
      <c r="E1409" s="176">
        <f t="shared" si="21"/>
        <v>662274.450000023</v>
      </c>
    </row>
    <row r="1410" spans="1:10" ht="15" customHeight="1" x14ac:dyDescent="0.25">
      <c r="A1410" s="138"/>
      <c r="B1410" s="30"/>
      <c r="C1410" s="127"/>
      <c r="D1410" s="127"/>
      <c r="E1410" s="176">
        <f t="shared" si="21"/>
        <v>662274.450000023</v>
      </c>
    </row>
    <row r="1411" spans="1:10" ht="15" customHeight="1" x14ac:dyDescent="0.25">
      <c r="A1411" s="138"/>
      <c r="B1411" s="30"/>
      <c r="C1411" s="127"/>
      <c r="D1411" s="127"/>
      <c r="E1411" s="176">
        <f t="shared" si="21"/>
        <v>662274.450000023</v>
      </c>
    </row>
    <row r="1412" spans="1:10" ht="15" customHeight="1" x14ac:dyDescent="0.25">
      <c r="A1412" s="138"/>
      <c r="B1412" s="30"/>
      <c r="C1412" s="127"/>
      <c r="D1412" s="127"/>
      <c r="E1412" s="176">
        <f t="shared" si="21"/>
        <v>662274.450000023</v>
      </c>
    </row>
    <row r="1413" spans="1:10" ht="15" customHeight="1" x14ac:dyDescent="0.25">
      <c r="A1413" s="138"/>
      <c r="B1413" s="30"/>
      <c r="C1413" s="127"/>
      <c r="D1413" s="127"/>
      <c r="E1413" s="176">
        <f t="shared" si="21"/>
        <v>662274.450000023</v>
      </c>
      <c r="F1413" s="72"/>
      <c r="G1413" s="36"/>
      <c r="H1413" s="69"/>
      <c r="I1413" s="36"/>
      <c r="J1413" s="79"/>
    </row>
    <row r="1414" spans="1:10" ht="15" customHeight="1" x14ac:dyDescent="0.25">
      <c r="C1414" s="131"/>
      <c r="D1414" s="132"/>
      <c r="E1414" s="176">
        <f t="shared" si="21"/>
        <v>662274.450000023</v>
      </c>
    </row>
    <row r="1416" spans="1:10" ht="15" customHeight="1" x14ac:dyDescent="0.25">
      <c r="D1416" s="42"/>
    </row>
    <row r="1417" spans="1:10" ht="15" customHeight="1" x14ac:dyDescent="0.25">
      <c r="D1417" s="42"/>
    </row>
    <row r="1418" spans="1:10" ht="15" customHeight="1" x14ac:dyDescent="0.25">
      <c r="D1418" s="42"/>
    </row>
    <row r="1419" spans="1:10" ht="15" customHeight="1" x14ac:dyDescent="0.25">
      <c r="D1419" s="42"/>
    </row>
    <row r="1420" spans="1:10" ht="15" customHeight="1" x14ac:dyDescent="0.25">
      <c r="D1420" s="42"/>
    </row>
    <row r="1421" spans="1:10" ht="15" customHeight="1" x14ac:dyDescent="0.25">
      <c r="D1421" s="42"/>
    </row>
    <row r="1425" spans="2:4" ht="15" customHeight="1" thickBot="1" x14ac:dyDescent="0.3">
      <c r="B1425" s="139" t="s">
        <v>12</v>
      </c>
      <c r="C1425" s="12">
        <f>SUBTOTAL(9,C6:C1413)</f>
        <v>9441312.8400000315</v>
      </c>
      <c r="D1425" s="12">
        <f>SUBTOTAL(9,D6:D1400)</f>
        <v>9654566.5599999987</v>
      </c>
    </row>
    <row r="1426" spans="2:4" ht="15" customHeight="1" thickTop="1" x14ac:dyDescent="0.25">
      <c r="B1426" s="139"/>
    </row>
    <row r="1427" spans="2:4" ht="15" customHeight="1" thickBot="1" x14ac:dyDescent="0.3">
      <c r="B1427" s="139" t="s">
        <v>13</v>
      </c>
      <c r="C1427" s="12">
        <v>18366761.300000001</v>
      </c>
      <c r="D1427" s="12">
        <v>18429528.16</v>
      </c>
    </row>
    <row r="1428" spans="2:4" ht="15" customHeight="1" thickTop="1" x14ac:dyDescent="0.25">
      <c r="B1428" s="139"/>
    </row>
    <row r="1429" spans="2:4" ht="15" customHeight="1" thickBot="1" x14ac:dyDescent="0.3">
      <c r="B1429" s="139" t="s">
        <v>14</v>
      </c>
      <c r="C1429" s="12">
        <f>+C1425-C1427</f>
        <v>-8925448.4599999692</v>
      </c>
      <c r="D1429" s="50">
        <f>+D1425-D1427</f>
        <v>-8774961.6000000015</v>
      </c>
    </row>
    <row r="1430" spans="2:4" ht="15" customHeight="1" thickTop="1" x14ac:dyDescent="0.25"/>
  </sheetData>
  <autoFilter ref="A5:E1413" xr:uid="{00000000-0009-0000-0000-000000000000}"/>
  <mergeCells count="2">
    <mergeCell ref="A1:E1"/>
    <mergeCell ref="D2:E2"/>
  </mergeCells>
  <phoneticPr fontId="94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rgb="FFFF5050"/>
  </sheetPr>
  <dimension ref="A1:Z748"/>
  <sheetViews>
    <sheetView zoomScaleNormal="100" workbookViewId="0">
      <pane ySplit="5" topLeftCell="A6" activePane="bottomLeft" state="frozen"/>
      <selection pane="bottomLeft" activeCell="B249" sqref="B249"/>
    </sheetView>
  </sheetViews>
  <sheetFormatPr baseColWidth="10" defaultColWidth="14.42578125" defaultRowHeight="15" customHeight="1" x14ac:dyDescent="0.25"/>
  <cols>
    <col min="1" max="1" width="11.5703125" style="38" customWidth="1"/>
    <col min="2" max="2" width="54.7109375" style="38" customWidth="1"/>
    <col min="3" max="4" width="17.140625" style="154" customWidth="1"/>
    <col min="5" max="5" width="14.140625" style="38" customWidth="1"/>
    <col min="6" max="6" width="16.42578125" style="38" customWidth="1"/>
    <col min="7" max="7" width="14.7109375" style="38" customWidth="1"/>
    <col min="8" max="8" width="14" style="38" customWidth="1"/>
    <col min="9" max="9" width="13.42578125" style="38" bestFit="1" customWidth="1"/>
    <col min="10" max="10" width="18.85546875" style="38" customWidth="1"/>
    <col min="11" max="26" width="11.5703125" style="38" customWidth="1"/>
    <col min="27" max="16384" width="14.42578125" style="38"/>
  </cols>
  <sheetData>
    <row r="1" spans="1:26" ht="39" customHeight="1" x14ac:dyDescent="0.25">
      <c r="A1" s="302" t="s">
        <v>0</v>
      </c>
      <c r="B1" s="303"/>
      <c r="C1" s="303"/>
      <c r="D1" s="304"/>
      <c r="E1" s="303"/>
      <c r="F1" s="35"/>
      <c r="G1" s="36" t="s">
        <v>59</v>
      </c>
      <c r="H1" s="35"/>
      <c r="I1" s="35"/>
      <c r="J1" s="35" t="s">
        <v>56</v>
      </c>
      <c r="K1" s="3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2.75" customHeight="1" x14ac:dyDescent="0.25">
      <c r="A2" s="54" t="s">
        <v>17</v>
      </c>
      <c r="B2" s="40"/>
      <c r="C2" s="144"/>
      <c r="D2" s="305" t="s">
        <v>66</v>
      </c>
      <c r="E2" s="306"/>
      <c r="F2" s="35"/>
      <c r="G2" s="48" t="s">
        <v>53</v>
      </c>
      <c r="H2" s="35"/>
      <c r="I2" s="35"/>
      <c r="J2" s="35"/>
      <c r="K2" s="37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2.75" customHeight="1" x14ac:dyDescent="0.25">
      <c r="A3" s="54" t="s">
        <v>18</v>
      </c>
      <c r="B3" s="40"/>
      <c r="C3" s="145"/>
      <c r="D3" s="146" t="s">
        <v>3</v>
      </c>
      <c r="E3" s="55">
        <f>'[1]Banregio T '!$E$4</f>
        <v>2075617.2000000065</v>
      </c>
      <c r="F3" s="35"/>
      <c r="G3" s="64" t="s">
        <v>54</v>
      </c>
      <c r="H3" s="35"/>
      <c r="I3" s="35"/>
      <c r="J3" s="35" t="s">
        <v>57</v>
      </c>
      <c r="K3" s="37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2.75" customHeight="1" x14ac:dyDescent="0.25">
      <c r="A4" s="54" t="s">
        <v>4</v>
      </c>
      <c r="B4" s="40"/>
      <c r="C4" s="145"/>
      <c r="D4" s="146" t="s">
        <v>5</v>
      </c>
      <c r="E4" s="55">
        <f>E520</f>
        <v>2421552.0600000075</v>
      </c>
      <c r="F4" s="35"/>
      <c r="G4" s="65" t="s">
        <v>55</v>
      </c>
      <c r="H4" s="35"/>
      <c r="I4" s="35"/>
      <c r="J4" s="35" t="s">
        <v>58</v>
      </c>
      <c r="K4" s="37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s="42" customFormat="1" ht="13.5" customHeight="1" x14ac:dyDescent="0.25">
      <c r="A5" s="98" t="s">
        <v>6</v>
      </c>
      <c r="B5" s="99" t="s">
        <v>7</v>
      </c>
      <c r="C5" s="147" t="s">
        <v>8</v>
      </c>
      <c r="D5" s="148" t="s">
        <v>9</v>
      </c>
      <c r="E5" s="99" t="s">
        <v>10</v>
      </c>
      <c r="F5" s="45"/>
      <c r="G5" s="40"/>
      <c r="H5" s="40"/>
      <c r="I5" s="41"/>
      <c r="J5" s="40"/>
      <c r="K5" s="41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6" s="42" customFormat="1" ht="13.5" customHeight="1" x14ac:dyDescent="0.25">
      <c r="A6" s="51">
        <v>46056</v>
      </c>
      <c r="B6" s="188" t="s">
        <v>20</v>
      </c>
      <c r="C6" s="329"/>
      <c r="D6" s="330">
        <v>1458.27</v>
      </c>
      <c r="E6" s="176">
        <f>E3-C6+D6</f>
        <v>2077075.4700000065</v>
      </c>
      <c r="F6" s="227"/>
      <c r="G6" s="174"/>
      <c r="H6" s="192"/>
      <c r="I6" s="194"/>
      <c r="J6" s="174"/>
      <c r="K6" s="174"/>
      <c r="L6" s="228"/>
      <c r="M6" s="179"/>
      <c r="N6" s="174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s="42" customFormat="1" ht="13.5" customHeight="1" x14ac:dyDescent="0.25">
      <c r="A7" s="51">
        <v>46056</v>
      </c>
      <c r="B7" s="188" t="s">
        <v>64</v>
      </c>
      <c r="C7" s="330">
        <v>11.67</v>
      </c>
      <c r="D7" s="329"/>
      <c r="E7" s="176">
        <f>E6-C7+D7</f>
        <v>2077063.8000000066</v>
      </c>
      <c r="F7" s="198"/>
      <c r="G7" s="174"/>
      <c r="H7" s="192"/>
      <c r="I7" s="194"/>
      <c r="J7" s="174"/>
      <c r="K7" s="174"/>
      <c r="L7" s="228"/>
      <c r="M7" s="179"/>
      <c r="N7" s="174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s="42" customFormat="1" ht="13.5" customHeight="1" x14ac:dyDescent="0.25">
      <c r="A8" s="51">
        <v>46056</v>
      </c>
      <c r="B8" s="188" t="s">
        <v>65</v>
      </c>
      <c r="C8" s="330">
        <v>1.87</v>
      </c>
      <c r="D8" s="329"/>
      <c r="E8" s="176">
        <f t="shared" ref="E8:E71" si="0">E7-C8+D8</f>
        <v>2077061.9300000065</v>
      </c>
      <c r="F8" s="227"/>
      <c r="G8" s="181"/>
      <c r="H8" s="182"/>
      <c r="I8" s="190"/>
      <c r="J8" s="174"/>
      <c r="K8" s="174"/>
      <c r="L8" s="228"/>
      <c r="M8" s="179"/>
      <c r="N8" s="174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2.75" customHeight="1" x14ac:dyDescent="0.25">
      <c r="A9" s="51">
        <v>46056</v>
      </c>
      <c r="B9" s="188" t="s">
        <v>19</v>
      </c>
      <c r="C9" s="329"/>
      <c r="D9" s="330">
        <v>15684.45</v>
      </c>
      <c r="E9" s="176">
        <f t="shared" si="0"/>
        <v>2092746.3800000064</v>
      </c>
      <c r="F9" s="229"/>
      <c r="G9" s="230"/>
      <c r="H9" s="196"/>
      <c r="I9" s="190"/>
      <c r="J9" s="190"/>
      <c r="K9" s="182"/>
      <c r="L9" s="190"/>
      <c r="M9" s="190"/>
      <c r="N9" s="190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2.75" customHeight="1" x14ac:dyDescent="0.25">
      <c r="A10" s="51">
        <v>46056</v>
      </c>
      <c r="B10" s="188" t="s">
        <v>60</v>
      </c>
      <c r="C10" s="330">
        <v>125.48</v>
      </c>
      <c r="D10" s="329"/>
      <c r="E10" s="176">
        <f t="shared" si="0"/>
        <v>2092620.9000000064</v>
      </c>
      <c r="F10" s="185"/>
      <c r="G10" s="185"/>
      <c r="H10" s="185"/>
      <c r="I10" s="190"/>
      <c r="J10" s="190"/>
      <c r="K10" s="182"/>
      <c r="L10" s="190"/>
      <c r="M10" s="190"/>
      <c r="N10" s="190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2.75" customHeight="1" x14ac:dyDescent="0.25">
      <c r="A11" s="51">
        <v>46056</v>
      </c>
      <c r="B11" s="188" t="s">
        <v>61</v>
      </c>
      <c r="C11" s="330">
        <v>20.079999999999998</v>
      </c>
      <c r="D11" s="329"/>
      <c r="E11" s="176">
        <f t="shared" si="0"/>
        <v>2092600.8200000064</v>
      </c>
      <c r="F11" s="185"/>
      <c r="G11" s="185"/>
      <c r="H11" s="185"/>
      <c r="I11" s="185"/>
      <c r="J11" s="190"/>
      <c r="K11" s="182"/>
      <c r="L11" s="190"/>
      <c r="M11" s="190"/>
      <c r="N11" s="190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2.75" customHeight="1" x14ac:dyDescent="0.25">
      <c r="A12" s="51">
        <v>46056</v>
      </c>
      <c r="B12" s="188" t="s">
        <v>20</v>
      </c>
      <c r="C12" s="329"/>
      <c r="D12" s="330">
        <v>44908.26</v>
      </c>
      <c r="E12" s="176">
        <f t="shared" si="0"/>
        <v>2137509.0800000061</v>
      </c>
      <c r="F12" s="185"/>
      <c r="G12" s="185"/>
      <c r="H12" s="185"/>
      <c r="I12" s="185"/>
      <c r="J12" s="190"/>
      <c r="K12" s="182"/>
      <c r="L12" s="190"/>
      <c r="M12" s="190"/>
      <c r="N12" s="190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2.75" customHeight="1" x14ac:dyDescent="0.25">
      <c r="A13" s="51">
        <v>46056</v>
      </c>
      <c r="B13" s="188" t="s">
        <v>64</v>
      </c>
      <c r="C13" s="330">
        <v>359.29</v>
      </c>
      <c r="D13" s="329"/>
      <c r="E13" s="176">
        <f t="shared" si="0"/>
        <v>2137149.7900000061</v>
      </c>
      <c r="F13" s="190"/>
      <c r="G13" s="181"/>
      <c r="H13" s="190"/>
      <c r="I13" s="231"/>
      <c r="J13" s="190"/>
      <c r="K13" s="182"/>
      <c r="L13" s="190"/>
      <c r="M13" s="190"/>
      <c r="N13" s="190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2.75" customHeight="1" x14ac:dyDescent="0.25">
      <c r="A14" s="51">
        <v>46056</v>
      </c>
      <c r="B14" s="188" t="s">
        <v>65</v>
      </c>
      <c r="C14" s="330">
        <v>57.49</v>
      </c>
      <c r="D14" s="329"/>
      <c r="E14" s="176">
        <f t="shared" si="0"/>
        <v>2137092.3000000059</v>
      </c>
      <c r="F14" s="324"/>
      <c r="G14" s="181"/>
      <c r="H14" s="182"/>
      <c r="I14" s="190"/>
      <c r="J14" s="190"/>
      <c r="K14" s="182"/>
      <c r="L14" s="190"/>
      <c r="M14" s="190"/>
      <c r="N14" s="190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2.75" customHeight="1" x14ac:dyDescent="0.25">
      <c r="A15" s="51">
        <v>46056</v>
      </c>
      <c r="B15" s="188" t="s">
        <v>19</v>
      </c>
      <c r="C15" s="329"/>
      <c r="D15" s="330">
        <v>181656.97</v>
      </c>
      <c r="E15" s="176">
        <f t="shared" si="0"/>
        <v>2318749.2700000061</v>
      </c>
      <c r="F15" s="229"/>
      <c r="G15" s="247"/>
      <c r="H15" s="325"/>
      <c r="I15" s="322"/>
      <c r="J15" s="174"/>
      <c r="K15" s="182"/>
      <c r="L15" s="190"/>
      <c r="M15" s="190"/>
      <c r="N15" s="190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2.75" customHeight="1" x14ac:dyDescent="0.25">
      <c r="A16" s="51">
        <v>46056</v>
      </c>
      <c r="B16" s="188" t="s">
        <v>60</v>
      </c>
      <c r="C16" s="330">
        <v>1453.24</v>
      </c>
      <c r="D16" s="329"/>
      <c r="E16" s="176">
        <f t="shared" si="0"/>
        <v>2317296.0300000058</v>
      </c>
      <c r="F16" s="190"/>
      <c r="G16" s="181"/>
      <c r="H16" s="190"/>
      <c r="I16" s="190"/>
      <c r="J16" s="190"/>
      <c r="K16" s="182"/>
      <c r="L16" s="190"/>
      <c r="M16" s="190"/>
      <c r="N16" s="190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2.75" customHeight="1" x14ac:dyDescent="0.25">
      <c r="A17" s="51">
        <v>46056</v>
      </c>
      <c r="B17" s="188" t="s">
        <v>61</v>
      </c>
      <c r="C17" s="330">
        <v>232.52</v>
      </c>
      <c r="D17" s="329"/>
      <c r="E17" s="176">
        <f t="shared" si="0"/>
        <v>2317063.5100000058</v>
      </c>
      <c r="F17" s="204"/>
      <c r="G17" s="74"/>
      <c r="H17" s="205"/>
      <c r="I17" s="181"/>
      <c r="J17" s="49"/>
      <c r="K17" s="182"/>
      <c r="L17" s="190"/>
      <c r="M17" s="190"/>
      <c r="N17" s="190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2.75" customHeight="1" x14ac:dyDescent="0.25">
      <c r="A18" s="51">
        <v>46056</v>
      </c>
      <c r="B18" s="188" t="s">
        <v>19</v>
      </c>
      <c r="C18" s="329"/>
      <c r="D18" s="330">
        <v>6385.07</v>
      </c>
      <c r="E18" s="176">
        <f t="shared" si="0"/>
        <v>2323448.5800000057</v>
      </c>
      <c r="F18" s="190"/>
      <c r="G18" s="181"/>
      <c r="H18" s="190"/>
      <c r="I18" s="190"/>
      <c r="J18" s="190"/>
      <c r="K18" s="182"/>
      <c r="L18" s="190"/>
      <c r="M18" s="190"/>
      <c r="N18" s="190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2.75" customHeight="1" x14ac:dyDescent="0.25">
      <c r="A19" s="51">
        <v>46056</v>
      </c>
      <c r="B19" s="188" t="s">
        <v>60</v>
      </c>
      <c r="C19" s="330">
        <v>51.08</v>
      </c>
      <c r="D19" s="329"/>
      <c r="E19" s="176">
        <f t="shared" si="0"/>
        <v>2323397.5000000056</v>
      </c>
      <c r="F19" s="227"/>
      <c r="G19" s="181"/>
      <c r="H19" s="205"/>
      <c r="I19" s="181"/>
      <c r="J19" s="232"/>
      <c r="K19" s="233"/>
      <c r="L19" s="190"/>
      <c r="M19" s="190"/>
      <c r="N19" s="190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2.75" customHeight="1" x14ac:dyDescent="0.25">
      <c r="A20" s="51">
        <v>46056</v>
      </c>
      <c r="B20" s="188" t="s">
        <v>61</v>
      </c>
      <c r="C20" s="330">
        <v>8.17</v>
      </c>
      <c r="D20" s="329"/>
      <c r="E20" s="176">
        <f t="shared" si="0"/>
        <v>2323389.3300000057</v>
      </c>
      <c r="F20" s="234"/>
      <c r="G20" s="181"/>
      <c r="H20" s="190"/>
      <c r="I20" s="190"/>
      <c r="J20" s="190"/>
      <c r="K20" s="182"/>
      <c r="L20" s="190"/>
      <c r="M20" s="190"/>
      <c r="N20" s="190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2.75" customHeight="1" x14ac:dyDescent="0.25">
      <c r="A21" s="51">
        <v>46056</v>
      </c>
      <c r="B21" s="188" t="s">
        <v>20</v>
      </c>
      <c r="C21" s="329"/>
      <c r="D21" s="330">
        <v>1446.96</v>
      </c>
      <c r="E21" s="176">
        <f t="shared" si="0"/>
        <v>2324836.2900000056</v>
      </c>
      <c r="F21" s="190"/>
      <c r="G21" s="181"/>
      <c r="H21" s="190"/>
      <c r="I21" s="190"/>
      <c r="J21" s="190"/>
      <c r="K21" s="182"/>
      <c r="L21" s="190"/>
      <c r="M21" s="190"/>
      <c r="N21" s="190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2.75" customHeight="1" x14ac:dyDescent="0.25">
      <c r="A22" s="51">
        <v>46056</v>
      </c>
      <c r="B22" s="188" t="s">
        <v>64</v>
      </c>
      <c r="C22" s="330">
        <v>11.58</v>
      </c>
      <c r="D22" s="329"/>
      <c r="E22" s="176">
        <f t="shared" si="0"/>
        <v>2324824.7100000056</v>
      </c>
      <c r="F22" s="80"/>
      <c r="G22" s="75"/>
      <c r="H22" s="190"/>
      <c r="I22" s="190"/>
      <c r="J22" s="185"/>
      <c r="K22" s="182"/>
      <c r="L22" s="190"/>
      <c r="M22" s="190"/>
      <c r="N22" s="190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2.75" customHeight="1" x14ac:dyDescent="0.25">
      <c r="A23" s="51">
        <v>46056</v>
      </c>
      <c r="B23" s="188" t="s">
        <v>65</v>
      </c>
      <c r="C23" s="330">
        <v>1.85</v>
      </c>
      <c r="D23" s="329"/>
      <c r="E23" s="176">
        <f t="shared" si="0"/>
        <v>2324822.8600000055</v>
      </c>
      <c r="F23" s="185"/>
      <c r="G23" s="185"/>
      <c r="H23" s="185"/>
      <c r="I23" s="181"/>
      <c r="J23" s="206"/>
      <c r="K23" s="235"/>
      <c r="L23" s="190"/>
      <c r="M23" s="190"/>
      <c r="N23" s="190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2.75" customHeight="1" x14ac:dyDescent="0.25">
      <c r="A24" s="51">
        <v>46056</v>
      </c>
      <c r="B24" s="188" t="s">
        <v>19</v>
      </c>
      <c r="C24" s="329"/>
      <c r="D24" s="330">
        <v>277313.15999999997</v>
      </c>
      <c r="E24" s="176">
        <f t="shared" si="0"/>
        <v>2602136.0200000056</v>
      </c>
      <c r="F24" s="80"/>
      <c r="G24" s="80"/>
      <c r="H24" s="185"/>
      <c r="I24" s="185"/>
      <c r="J24" s="190"/>
      <c r="K24" s="182"/>
      <c r="L24" s="190"/>
      <c r="M24" s="190"/>
      <c r="N24" s="190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2.75" customHeight="1" x14ac:dyDescent="0.25">
      <c r="A25" s="51">
        <v>46056</v>
      </c>
      <c r="B25" s="188" t="s">
        <v>60</v>
      </c>
      <c r="C25" s="330">
        <v>2218.5300000000002</v>
      </c>
      <c r="D25" s="329"/>
      <c r="E25" s="176">
        <f t="shared" si="0"/>
        <v>2599917.4900000058</v>
      </c>
      <c r="F25" s="185"/>
      <c r="G25" s="185"/>
      <c r="H25" s="185"/>
      <c r="I25" s="185"/>
      <c r="J25" s="49"/>
      <c r="K25" s="233"/>
      <c r="L25" s="190"/>
      <c r="M25" s="190"/>
      <c r="N25" s="190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2.75" customHeight="1" x14ac:dyDescent="0.25">
      <c r="A26" s="51">
        <v>46056</v>
      </c>
      <c r="B26" s="188" t="s">
        <v>61</v>
      </c>
      <c r="C26" s="330">
        <v>354.96</v>
      </c>
      <c r="D26" s="329"/>
      <c r="E26" s="176">
        <f t="shared" si="0"/>
        <v>2599562.5300000058</v>
      </c>
      <c r="F26" s="185"/>
      <c r="G26" s="185"/>
      <c r="H26" s="185"/>
      <c r="I26" s="181"/>
      <c r="J26" s="190"/>
      <c r="K26" s="182"/>
      <c r="L26" s="190"/>
      <c r="M26" s="190"/>
      <c r="N26" s="190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2.75" customHeight="1" x14ac:dyDescent="0.25">
      <c r="A27" s="51">
        <v>46056</v>
      </c>
      <c r="B27" s="188" t="s">
        <v>20</v>
      </c>
      <c r="C27" s="329"/>
      <c r="D27" s="330">
        <v>77445.14</v>
      </c>
      <c r="E27" s="176">
        <f t="shared" si="0"/>
        <v>2677007.670000006</v>
      </c>
      <c r="F27" s="185"/>
      <c r="G27" s="185"/>
      <c r="H27" s="185"/>
      <c r="I27" s="190"/>
      <c r="J27" s="190"/>
      <c r="K27" s="182"/>
      <c r="L27" s="190"/>
      <c r="M27" s="190"/>
      <c r="N27" s="190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2.75" customHeight="1" x14ac:dyDescent="0.25">
      <c r="A28" s="51">
        <v>46056</v>
      </c>
      <c r="B28" s="188" t="s">
        <v>64</v>
      </c>
      <c r="C28" s="330">
        <v>619.52</v>
      </c>
      <c r="D28" s="329"/>
      <c r="E28" s="176">
        <f t="shared" si="0"/>
        <v>2676388.150000006</v>
      </c>
      <c r="F28" s="185"/>
      <c r="G28" s="185"/>
      <c r="H28" s="185"/>
      <c r="I28" s="190"/>
      <c r="J28" s="190"/>
      <c r="K28" s="182"/>
      <c r="L28" s="190"/>
      <c r="M28" s="190"/>
      <c r="N28" s="190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2.75" customHeight="1" x14ac:dyDescent="0.25">
      <c r="A29" s="51">
        <v>46056</v>
      </c>
      <c r="B29" s="188" t="s">
        <v>65</v>
      </c>
      <c r="C29" s="330">
        <v>99.12</v>
      </c>
      <c r="D29" s="329"/>
      <c r="E29" s="176">
        <f t="shared" si="0"/>
        <v>2676289.0300000058</v>
      </c>
      <c r="F29" s="324"/>
      <c r="G29" s="181"/>
      <c r="H29" s="182"/>
      <c r="I29" s="190"/>
      <c r="J29" s="190"/>
      <c r="K29" s="182"/>
      <c r="L29" s="190"/>
      <c r="M29" s="190"/>
      <c r="N29" s="190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2.75" customHeight="1" x14ac:dyDescent="0.25">
      <c r="A30" s="51">
        <v>46056</v>
      </c>
      <c r="B30" s="188" t="s">
        <v>19</v>
      </c>
      <c r="C30" s="329"/>
      <c r="D30" s="330">
        <v>14700.49</v>
      </c>
      <c r="E30" s="176">
        <f t="shared" si="0"/>
        <v>2690989.5200000061</v>
      </c>
      <c r="F30" s="229"/>
      <c r="G30" s="247"/>
      <c r="H30" s="325"/>
      <c r="I30" s="322"/>
      <c r="J30" s="174"/>
      <c r="K30" s="182"/>
      <c r="L30" s="190"/>
      <c r="M30" s="190"/>
      <c r="N30" s="190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2.75" customHeight="1" x14ac:dyDescent="0.25">
      <c r="A31" s="51">
        <v>46056</v>
      </c>
      <c r="B31" s="188" t="s">
        <v>60</v>
      </c>
      <c r="C31" s="330">
        <v>117.58</v>
      </c>
      <c r="D31" s="329"/>
      <c r="E31" s="176">
        <f t="shared" si="0"/>
        <v>2690871.940000006</v>
      </c>
      <c r="F31" s="185"/>
      <c r="G31" s="185"/>
      <c r="H31" s="185"/>
      <c r="I31" s="190"/>
      <c r="J31" s="190"/>
      <c r="K31" s="182"/>
      <c r="L31" s="190"/>
      <c r="M31" s="190"/>
      <c r="N31" s="190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.75" customHeight="1" x14ac:dyDescent="0.25">
      <c r="A32" s="51">
        <v>46056</v>
      </c>
      <c r="B32" s="188" t="s">
        <v>61</v>
      </c>
      <c r="C32" s="330">
        <v>18.809999999999999</v>
      </c>
      <c r="D32" s="329"/>
      <c r="E32" s="176">
        <f t="shared" si="0"/>
        <v>2690853.1300000059</v>
      </c>
      <c r="F32" s="185"/>
      <c r="G32" s="185"/>
      <c r="H32" s="185"/>
      <c r="I32" s="196"/>
      <c r="J32" s="190"/>
      <c r="K32" s="182"/>
      <c r="L32" s="190"/>
      <c r="M32" s="190"/>
      <c r="N32" s="190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2.75" customHeight="1" x14ac:dyDescent="0.25">
      <c r="A33" s="51">
        <v>46056</v>
      </c>
      <c r="B33" s="188" t="s">
        <v>20</v>
      </c>
      <c r="C33" s="329"/>
      <c r="D33" s="330">
        <v>1212.23</v>
      </c>
      <c r="E33" s="176">
        <f t="shared" si="0"/>
        <v>2692065.3600000059</v>
      </c>
      <c r="F33" s="185"/>
      <c r="G33" s="185"/>
      <c r="H33" s="185"/>
      <c r="I33" s="190"/>
      <c r="J33" s="190"/>
      <c r="K33" s="182"/>
      <c r="L33" s="190"/>
      <c r="M33" s="190"/>
      <c r="N33" s="190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2.75" customHeight="1" x14ac:dyDescent="0.25">
      <c r="A34" s="51">
        <v>46056</v>
      </c>
      <c r="B34" s="188" t="s">
        <v>64</v>
      </c>
      <c r="C34" s="330">
        <v>9.6999999999999993</v>
      </c>
      <c r="D34" s="329"/>
      <c r="E34" s="176">
        <f t="shared" si="0"/>
        <v>2692055.6600000057</v>
      </c>
      <c r="F34" s="180"/>
      <c r="G34" s="181"/>
      <c r="H34" s="182"/>
      <c r="I34" s="196"/>
      <c r="J34" s="49"/>
      <c r="K34" s="182"/>
      <c r="L34" s="190"/>
      <c r="M34" s="190"/>
      <c r="N34" s="190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2.75" customHeight="1" x14ac:dyDescent="0.25">
      <c r="A35" s="51">
        <v>46056</v>
      </c>
      <c r="B35" s="188" t="s">
        <v>65</v>
      </c>
      <c r="C35" s="330">
        <v>1.55</v>
      </c>
      <c r="D35" s="329"/>
      <c r="E35" s="176">
        <f t="shared" si="0"/>
        <v>2692054.1100000059</v>
      </c>
      <c r="F35" s="229"/>
      <c r="G35" s="238"/>
      <c r="H35" s="184"/>
      <c r="I35" s="190"/>
      <c r="J35" s="190"/>
      <c r="K35" s="182"/>
      <c r="L35" s="190"/>
      <c r="M35" s="190"/>
      <c r="N35" s="190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2.75" customHeight="1" x14ac:dyDescent="0.25">
      <c r="A36" s="51">
        <v>46056</v>
      </c>
      <c r="B36" s="188" t="s">
        <v>19</v>
      </c>
      <c r="C36" s="329"/>
      <c r="D36" s="330">
        <v>229526.52</v>
      </c>
      <c r="E36" s="176">
        <f t="shared" si="0"/>
        <v>2921580.6300000059</v>
      </c>
      <c r="F36" s="80"/>
      <c r="G36" s="253"/>
      <c r="H36" s="185"/>
      <c r="I36" s="190"/>
      <c r="J36" s="190"/>
      <c r="K36" s="182"/>
      <c r="L36" s="190"/>
      <c r="M36" s="190"/>
      <c r="N36" s="190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.75" customHeight="1" x14ac:dyDescent="0.25">
      <c r="A37" s="51">
        <v>46056</v>
      </c>
      <c r="B37" s="188" t="s">
        <v>60</v>
      </c>
      <c r="C37" s="330">
        <v>1836.25</v>
      </c>
      <c r="D37" s="329"/>
      <c r="E37" s="176">
        <f t="shared" si="0"/>
        <v>2919744.3800000059</v>
      </c>
      <c r="F37" s="185"/>
      <c r="G37" s="185"/>
      <c r="H37" s="185"/>
      <c r="I37" s="190"/>
      <c r="J37" s="190"/>
      <c r="K37" s="182"/>
      <c r="L37" s="190"/>
      <c r="M37" s="190"/>
      <c r="N37" s="190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.75" customHeight="1" x14ac:dyDescent="0.25">
      <c r="A38" s="51">
        <v>46056</v>
      </c>
      <c r="B38" s="188" t="s">
        <v>61</v>
      </c>
      <c r="C38" s="330">
        <v>293.8</v>
      </c>
      <c r="D38" s="329"/>
      <c r="E38" s="176">
        <f t="shared" si="0"/>
        <v>2919450.5800000061</v>
      </c>
      <c r="F38" s="185"/>
      <c r="G38" s="185"/>
      <c r="H38" s="185"/>
      <c r="I38" s="190"/>
      <c r="J38" s="190"/>
      <c r="K38" s="182"/>
      <c r="L38" s="190"/>
      <c r="M38" s="190"/>
      <c r="N38" s="190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.75" customHeight="1" x14ac:dyDescent="0.25">
      <c r="A39" s="51">
        <v>46056</v>
      </c>
      <c r="B39" s="188" t="s">
        <v>20</v>
      </c>
      <c r="C39" s="329"/>
      <c r="D39" s="330">
        <v>88643.24</v>
      </c>
      <c r="E39" s="176">
        <f t="shared" si="0"/>
        <v>3008093.8200000064</v>
      </c>
      <c r="F39" s="185"/>
      <c r="G39" s="185"/>
      <c r="H39" s="185"/>
      <c r="I39" s="190"/>
      <c r="J39" s="190"/>
      <c r="K39" s="182"/>
      <c r="L39" s="190"/>
      <c r="M39" s="190"/>
      <c r="N39" s="190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75" customHeight="1" x14ac:dyDescent="0.25">
      <c r="A40" s="51">
        <v>46056</v>
      </c>
      <c r="B40" s="188" t="s">
        <v>64</v>
      </c>
      <c r="C40" s="330">
        <v>709.12</v>
      </c>
      <c r="D40" s="329"/>
      <c r="E40" s="176">
        <f t="shared" si="0"/>
        <v>3007384.7000000062</v>
      </c>
      <c r="F40" s="227"/>
      <c r="G40" s="181"/>
      <c r="H40" s="182"/>
      <c r="I40" s="190"/>
      <c r="J40" s="190"/>
      <c r="K40" s="182"/>
      <c r="L40" s="190"/>
      <c r="M40" s="190"/>
      <c r="N40" s="190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75" customHeight="1" x14ac:dyDescent="0.25">
      <c r="A41" s="51">
        <v>46056</v>
      </c>
      <c r="B41" s="188" t="s">
        <v>65</v>
      </c>
      <c r="C41" s="330">
        <v>113.46</v>
      </c>
      <c r="D41" s="329"/>
      <c r="E41" s="176">
        <f t="shared" si="0"/>
        <v>3007271.2400000063</v>
      </c>
      <c r="F41" s="324"/>
      <c r="G41" s="181"/>
      <c r="H41" s="182"/>
      <c r="I41" s="240"/>
      <c r="J41" s="241"/>
      <c r="K41" s="182"/>
      <c r="L41" s="190"/>
      <c r="M41" s="190"/>
      <c r="N41" s="190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75" customHeight="1" x14ac:dyDescent="0.25">
      <c r="A42" s="51">
        <v>46056</v>
      </c>
      <c r="B42" s="292" t="s">
        <v>19</v>
      </c>
      <c r="C42" s="329"/>
      <c r="D42" s="330">
        <v>6560.71</v>
      </c>
      <c r="E42" s="176">
        <f t="shared" si="0"/>
        <v>3013831.9500000062</v>
      </c>
      <c r="F42" s="229"/>
      <c r="G42" s="247"/>
      <c r="H42" s="325"/>
      <c r="I42" s="181"/>
      <c r="J42" s="49"/>
      <c r="K42" s="233"/>
      <c r="L42" s="190"/>
      <c r="M42" s="190"/>
      <c r="N42" s="190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75" customHeight="1" x14ac:dyDescent="0.25">
      <c r="A43" s="51">
        <v>46056</v>
      </c>
      <c r="B43" s="292" t="s">
        <v>60</v>
      </c>
      <c r="C43" s="330">
        <v>52.5</v>
      </c>
      <c r="D43" s="329"/>
      <c r="E43" s="176">
        <f t="shared" si="0"/>
        <v>3013779.4500000062</v>
      </c>
      <c r="F43" s="185"/>
      <c r="G43" s="185"/>
      <c r="H43" s="185"/>
      <c r="I43" s="190"/>
      <c r="J43" s="190"/>
      <c r="K43" s="182"/>
      <c r="L43" s="190"/>
      <c r="M43" s="190"/>
      <c r="N43" s="190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75" customHeight="1" x14ac:dyDescent="0.25">
      <c r="A44" s="51">
        <v>46056</v>
      </c>
      <c r="B44" s="292" t="s">
        <v>61</v>
      </c>
      <c r="C44" s="330">
        <v>8.4</v>
      </c>
      <c r="D44" s="329"/>
      <c r="E44" s="176">
        <f t="shared" si="0"/>
        <v>3013771.0500000063</v>
      </c>
      <c r="F44" s="185"/>
      <c r="G44" s="185"/>
      <c r="H44" s="185"/>
      <c r="I44" s="190"/>
      <c r="J44" s="190"/>
      <c r="K44" s="182"/>
      <c r="L44" s="190"/>
      <c r="M44" s="190"/>
      <c r="N44" s="190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.75" customHeight="1" x14ac:dyDescent="0.25">
      <c r="A45" s="51">
        <v>46056</v>
      </c>
      <c r="B45" s="292" t="s">
        <v>20</v>
      </c>
      <c r="C45" s="329"/>
      <c r="D45" s="330">
        <v>56137.11</v>
      </c>
      <c r="E45" s="176">
        <f t="shared" si="0"/>
        <v>3069908.1600000062</v>
      </c>
      <c r="F45" s="80"/>
      <c r="G45" s="80"/>
      <c r="H45" s="185"/>
      <c r="I45" s="190"/>
      <c r="J45" s="190"/>
      <c r="K45" s="182"/>
      <c r="L45" s="190"/>
      <c r="M45" s="190"/>
      <c r="N45" s="190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.75" customHeight="1" x14ac:dyDescent="0.25">
      <c r="A46" s="51">
        <v>46056</v>
      </c>
      <c r="B46" s="292" t="s">
        <v>64</v>
      </c>
      <c r="C46" s="330">
        <v>449.1</v>
      </c>
      <c r="D46" s="329"/>
      <c r="E46" s="176">
        <f t="shared" si="0"/>
        <v>3069459.0600000061</v>
      </c>
      <c r="F46" s="81"/>
      <c r="G46" s="93"/>
      <c r="H46" s="205"/>
      <c r="I46" s="181"/>
      <c r="J46" s="49"/>
      <c r="K46" s="182"/>
      <c r="L46" s="190"/>
      <c r="M46" s="190"/>
      <c r="N46" s="190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2.75" customHeight="1" x14ac:dyDescent="0.25">
      <c r="A47" s="51">
        <v>46056</v>
      </c>
      <c r="B47" s="292" t="s">
        <v>65</v>
      </c>
      <c r="C47" s="330">
        <v>71.86</v>
      </c>
      <c r="D47" s="329"/>
      <c r="E47" s="176">
        <f t="shared" si="0"/>
        <v>3069387.2000000062</v>
      </c>
      <c r="F47" s="75"/>
      <c r="G47" s="242"/>
      <c r="H47" s="196"/>
      <c r="I47" s="190"/>
      <c r="J47" s="190"/>
      <c r="K47" s="182"/>
      <c r="L47" s="190"/>
      <c r="M47" s="190"/>
      <c r="N47" s="190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.75" customHeight="1" x14ac:dyDescent="0.25">
      <c r="A48" s="51">
        <v>46056</v>
      </c>
      <c r="B48" s="292" t="s">
        <v>19</v>
      </c>
      <c r="C48" s="329"/>
      <c r="D48" s="330">
        <v>661.83</v>
      </c>
      <c r="E48" s="176">
        <f t="shared" si="0"/>
        <v>3070049.0300000063</v>
      </c>
      <c r="F48" s="237"/>
      <c r="G48" s="181"/>
      <c r="H48" s="182"/>
      <c r="I48" s="190"/>
      <c r="J48" s="190"/>
      <c r="K48" s="182"/>
      <c r="L48" s="190"/>
      <c r="M48" s="190"/>
      <c r="N48" s="190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75" customHeight="1" x14ac:dyDescent="0.25">
      <c r="A49" s="51">
        <v>46056</v>
      </c>
      <c r="B49" s="292" t="s">
        <v>68</v>
      </c>
      <c r="C49" s="330">
        <v>19.53</v>
      </c>
      <c r="D49" s="329"/>
      <c r="E49" s="176">
        <f t="shared" si="0"/>
        <v>3070029.5000000065</v>
      </c>
      <c r="F49" s="229"/>
      <c r="G49" s="239"/>
      <c r="H49" s="243"/>
      <c r="I49" s="196"/>
      <c r="J49" s="190"/>
      <c r="K49" s="182"/>
      <c r="L49" s="190"/>
      <c r="M49" s="190"/>
      <c r="N49" s="190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75" customHeight="1" x14ac:dyDescent="0.25">
      <c r="A50" s="51">
        <v>46056</v>
      </c>
      <c r="B50" s="292" t="s">
        <v>69</v>
      </c>
      <c r="C50" s="330">
        <v>3.12</v>
      </c>
      <c r="D50" s="329"/>
      <c r="E50" s="176">
        <f t="shared" si="0"/>
        <v>3070026.3800000064</v>
      </c>
      <c r="F50" s="185"/>
      <c r="G50" s="185"/>
      <c r="H50" s="185"/>
      <c r="I50" s="190"/>
      <c r="J50" s="190"/>
      <c r="K50" s="182"/>
      <c r="L50" s="190"/>
      <c r="M50" s="190"/>
      <c r="N50" s="190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75" customHeight="1" x14ac:dyDescent="0.25">
      <c r="A51" s="51">
        <v>46056</v>
      </c>
      <c r="B51" s="292" t="s">
        <v>19</v>
      </c>
      <c r="C51" s="329"/>
      <c r="D51" s="330">
        <v>153124.24</v>
      </c>
      <c r="E51" s="176">
        <f t="shared" si="0"/>
        <v>3223150.6200000066</v>
      </c>
      <c r="F51" s="185"/>
      <c r="G51" s="185"/>
      <c r="H51" s="185"/>
      <c r="I51" s="190"/>
      <c r="J51" s="190"/>
      <c r="K51" s="182"/>
      <c r="L51" s="190"/>
      <c r="M51" s="190"/>
      <c r="N51" s="190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75" customHeight="1" x14ac:dyDescent="0.25">
      <c r="A52" s="51">
        <v>46056</v>
      </c>
      <c r="B52" s="292" t="s">
        <v>60</v>
      </c>
      <c r="C52" s="330">
        <v>1225.08</v>
      </c>
      <c r="D52" s="329"/>
      <c r="E52" s="176">
        <f t="shared" si="0"/>
        <v>3221925.5400000066</v>
      </c>
      <c r="F52" s="80"/>
      <c r="G52" s="110"/>
      <c r="H52" s="190"/>
      <c r="I52" s="190"/>
      <c r="J52" s="190"/>
      <c r="K52" s="182"/>
      <c r="L52" s="190"/>
      <c r="M52" s="190"/>
      <c r="N52" s="190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75" customHeight="1" x14ac:dyDescent="0.25">
      <c r="A53" s="51">
        <v>46056</v>
      </c>
      <c r="B53" s="292" t="s">
        <v>61</v>
      </c>
      <c r="C53" s="330">
        <v>196.01</v>
      </c>
      <c r="D53" s="329"/>
      <c r="E53" s="176">
        <f t="shared" si="0"/>
        <v>3221729.5300000068</v>
      </c>
      <c r="F53" s="324"/>
      <c r="G53" s="181"/>
      <c r="H53" s="182"/>
      <c r="I53" s="190"/>
      <c r="J53" s="190"/>
      <c r="K53" s="182"/>
      <c r="L53" s="190"/>
      <c r="M53" s="190"/>
      <c r="N53" s="190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75" customHeight="1" x14ac:dyDescent="0.25">
      <c r="A54" s="51">
        <v>46056</v>
      </c>
      <c r="B54" s="292" t="s">
        <v>20</v>
      </c>
      <c r="C54" s="329"/>
      <c r="D54" s="330">
        <v>16825.400000000001</v>
      </c>
      <c r="E54" s="176">
        <f t="shared" si="0"/>
        <v>3238554.9300000067</v>
      </c>
      <c r="F54" s="229"/>
      <c r="G54" s="247"/>
      <c r="H54" s="325"/>
      <c r="I54" s="183"/>
      <c r="J54" s="84"/>
      <c r="K54" s="246"/>
      <c r="L54" s="190"/>
      <c r="M54" s="190"/>
      <c r="N54" s="190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75" customHeight="1" x14ac:dyDescent="0.25">
      <c r="A55" s="51">
        <v>46056</v>
      </c>
      <c r="B55" s="292" t="s">
        <v>64</v>
      </c>
      <c r="C55" s="330">
        <v>134.6</v>
      </c>
      <c r="D55" s="329"/>
      <c r="E55" s="176">
        <f t="shared" si="0"/>
        <v>3238420.3300000066</v>
      </c>
      <c r="F55" s="180"/>
      <c r="G55" s="181"/>
      <c r="H55" s="182"/>
      <c r="I55" s="190"/>
      <c r="J55" s="190"/>
      <c r="K55" s="181"/>
      <c r="L55" s="190"/>
      <c r="M55" s="190"/>
      <c r="N55" s="190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75" customHeight="1" x14ac:dyDescent="0.25">
      <c r="A56" s="51">
        <v>46056</v>
      </c>
      <c r="B56" s="292" t="s">
        <v>65</v>
      </c>
      <c r="C56" s="330">
        <v>21.54</v>
      </c>
      <c r="D56" s="329"/>
      <c r="E56" s="176">
        <f t="shared" si="0"/>
        <v>3238398.7900000066</v>
      </c>
      <c r="F56" s="185"/>
      <c r="G56" s="185"/>
      <c r="H56" s="185"/>
      <c r="I56" s="181"/>
      <c r="J56" s="49"/>
      <c r="K56" s="233"/>
      <c r="L56" s="190"/>
      <c r="M56" s="190"/>
      <c r="N56" s="190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75" customHeight="1" x14ac:dyDescent="0.25">
      <c r="A57" s="51">
        <v>46056</v>
      </c>
      <c r="B57" s="292" t="s">
        <v>19</v>
      </c>
      <c r="C57" s="329"/>
      <c r="D57" s="330">
        <v>27083.119999999999</v>
      </c>
      <c r="E57" s="176">
        <f t="shared" si="0"/>
        <v>3265481.9100000067</v>
      </c>
      <c r="F57" s="185"/>
      <c r="G57" s="185"/>
      <c r="H57" s="185"/>
      <c r="I57" s="190"/>
      <c r="J57" s="190"/>
      <c r="K57" s="182"/>
      <c r="L57" s="190"/>
      <c r="M57" s="190"/>
      <c r="N57" s="190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.75" customHeight="1" x14ac:dyDescent="0.25">
      <c r="A58" s="51">
        <v>46056</v>
      </c>
      <c r="B58" s="292" t="s">
        <v>60</v>
      </c>
      <c r="C58" s="330">
        <v>216.67</v>
      </c>
      <c r="D58" s="329"/>
      <c r="E58" s="176">
        <f t="shared" si="0"/>
        <v>3265265.2400000067</v>
      </c>
      <c r="F58" s="211"/>
      <c r="G58" s="83"/>
      <c r="H58" s="212"/>
      <c r="I58" s="183"/>
      <c r="J58" s="84"/>
      <c r="K58" s="248"/>
      <c r="L58" s="190"/>
      <c r="M58" s="190"/>
      <c r="N58" s="190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.75" customHeight="1" x14ac:dyDescent="0.25">
      <c r="A59" s="51">
        <v>46056</v>
      </c>
      <c r="B59" s="292" t="s">
        <v>61</v>
      </c>
      <c r="C59" s="330">
        <v>34.67</v>
      </c>
      <c r="D59" s="329"/>
      <c r="E59" s="176">
        <f t="shared" si="0"/>
        <v>3265230.5700000068</v>
      </c>
      <c r="F59" s="229"/>
      <c r="G59" s="239"/>
      <c r="H59" s="196"/>
      <c r="I59" s="190"/>
      <c r="J59" s="190"/>
      <c r="K59" s="182"/>
      <c r="L59" s="190"/>
      <c r="M59" s="190"/>
      <c r="N59" s="190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.75" customHeight="1" x14ac:dyDescent="0.25">
      <c r="A60" s="51">
        <v>46056</v>
      </c>
      <c r="B60" s="292" t="s">
        <v>19</v>
      </c>
      <c r="C60" s="329"/>
      <c r="D60" s="330">
        <v>8299.4</v>
      </c>
      <c r="E60" s="176">
        <f t="shared" si="0"/>
        <v>3273529.9700000067</v>
      </c>
      <c r="F60" s="207"/>
      <c r="G60" s="181"/>
      <c r="H60" s="205"/>
      <c r="I60" s="181"/>
      <c r="J60" s="70"/>
      <c r="K60" s="233"/>
      <c r="L60" s="190"/>
      <c r="M60" s="190"/>
      <c r="N60" s="190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.75" customHeight="1" x14ac:dyDescent="0.25">
      <c r="A61" s="51">
        <v>46056</v>
      </c>
      <c r="B61" s="292" t="s">
        <v>60</v>
      </c>
      <c r="C61" s="330">
        <v>66.400000000000006</v>
      </c>
      <c r="D61" s="329"/>
      <c r="E61" s="176">
        <f t="shared" si="0"/>
        <v>3273463.5700000068</v>
      </c>
      <c r="F61" s="249"/>
      <c r="G61" s="196"/>
      <c r="H61" s="250"/>
      <c r="I61" s="185"/>
      <c r="J61" s="190"/>
      <c r="K61" s="182"/>
      <c r="L61" s="190"/>
      <c r="M61" s="190"/>
      <c r="N61" s="190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.75" customHeight="1" x14ac:dyDescent="0.25">
      <c r="A62" s="51">
        <v>46056</v>
      </c>
      <c r="B62" s="292" t="s">
        <v>61</v>
      </c>
      <c r="C62" s="330">
        <v>10.62</v>
      </c>
      <c r="D62" s="329"/>
      <c r="E62" s="176">
        <f t="shared" si="0"/>
        <v>3273452.9500000067</v>
      </c>
      <c r="F62" s="204"/>
      <c r="G62" s="181"/>
      <c r="H62" s="205"/>
      <c r="I62" s="181"/>
      <c r="J62" s="206"/>
      <c r="K62" s="182"/>
      <c r="L62" s="190"/>
      <c r="M62" s="190"/>
      <c r="N62" s="190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75" customHeight="1" x14ac:dyDescent="0.25">
      <c r="A63" s="51">
        <v>46057</v>
      </c>
      <c r="B63" s="293" t="s">
        <v>19</v>
      </c>
      <c r="C63" s="329"/>
      <c r="D63" s="330">
        <v>16590.5</v>
      </c>
      <c r="E63" s="176">
        <f t="shared" si="0"/>
        <v>3290043.4500000067</v>
      </c>
      <c r="F63" s="185"/>
      <c r="G63" s="185"/>
      <c r="H63" s="185"/>
      <c r="I63" s="185"/>
      <c r="J63" s="190"/>
      <c r="K63" s="182"/>
      <c r="L63" s="190"/>
      <c r="M63" s="190"/>
      <c r="N63" s="190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75" customHeight="1" x14ac:dyDescent="0.25">
      <c r="A64" s="51">
        <v>46057</v>
      </c>
      <c r="B64" s="293" t="s">
        <v>60</v>
      </c>
      <c r="C64" s="330">
        <v>132.74</v>
      </c>
      <c r="D64" s="329"/>
      <c r="E64" s="176">
        <f t="shared" si="0"/>
        <v>3289910.7100000065</v>
      </c>
      <c r="F64" s="185"/>
      <c r="G64" s="185"/>
      <c r="H64" s="185"/>
      <c r="I64" s="185"/>
      <c r="J64" s="190"/>
      <c r="K64" s="182"/>
      <c r="L64" s="190"/>
      <c r="M64" s="190"/>
      <c r="N64" s="190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75" customHeight="1" x14ac:dyDescent="0.25">
      <c r="A65" s="51">
        <v>46057</v>
      </c>
      <c r="B65" s="293" t="s">
        <v>61</v>
      </c>
      <c r="C65" s="330">
        <v>21.24</v>
      </c>
      <c r="D65" s="329"/>
      <c r="E65" s="176">
        <f t="shared" si="0"/>
        <v>3289889.4700000063</v>
      </c>
      <c r="F65" s="185"/>
      <c r="G65" s="185"/>
      <c r="H65" s="185"/>
      <c r="I65" s="185"/>
      <c r="J65" s="190"/>
      <c r="K65" s="182"/>
      <c r="L65" s="190"/>
      <c r="M65" s="190"/>
      <c r="N65" s="190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75" customHeight="1" x14ac:dyDescent="0.25">
      <c r="A66" s="51">
        <v>46057</v>
      </c>
      <c r="B66" s="293" t="s">
        <v>20</v>
      </c>
      <c r="C66" s="329"/>
      <c r="D66" s="330">
        <v>598.62</v>
      </c>
      <c r="E66" s="176">
        <f t="shared" si="0"/>
        <v>3290488.0900000064</v>
      </c>
      <c r="F66" s="185"/>
      <c r="G66" s="185"/>
      <c r="H66" s="185"/>
      <c r="I66" s="190"/>
      <c r="J66" s="190"/>
      <c r="K66" s="182"/>
      <c r="L66" s="190"/>
      <c r="M66" s="190"/>
      <c r="N66" s="190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75" customHeight="1" x14ac:dyDescent="0.25">
      <c r="A67" s="51">
        <v>46057</v>
      </c>
      <c r="B67" s="293" t="s">
        <v>64</v>
      </c>
      <c r="C67" s="330">
        <v>4.79</v>
      </c>
      <c r="D67" s="329"/>
      <c r="E67" s="176">
        <f t="shared" si="0"/>
        <v>3290483.3000000063</v>
      </c>
      <c r="F67" s="180"/>
      <c r="G67" s="181"/>
      <c r="H67" s="182"/>
      <c r="I67" s="190"/>
      <c r="J67" s="190"/>
      <c r="K67" s="182"/>
      <c r="L67" s="190"/>
      <c r="M67" s="190"/>
      <c r="N67" s="190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75" customHeight="1" x14ac:dyDescent="0.25">
      <c r="A68" s="51">
        <v>46057</v>
      </c>
      <c r="B68" s="293" t="s">
        <v>65</v>
      </c>
      <c r="C68" s="330">
        <v>0.77</v>
      </c>
      <c r="D68" s="329"/>
      <c r="E68" s="176">
        <f t="shared" si="0"/>
        <v>3290482.5300000063</v>
      </c>
      <c r="F68" s="324"/>
      <c r="G68" s="181"/>
      <c r="H68" s="182"/>
      <c r="I68" s="190"/>
      <c r="J68" s="190"/>
      <c r="K68" s="182"/>
      <c r="L68" s="190"/>
      <c r="M68" s="190"/>
      <c r="N68" s="190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.75" customHeight="1" x14ac:dyDescent="0.25">
      <c r="A69" s="51">
        <v>46057</v>
      </c>
      <c r="B69" s="293" t="s">
        <v>19</v>
      </c>
      <c r="C69" s="329"/>
      <c r="D69" s="330">
        <v>185917.9</v>
      </c>
      <c r="E69" s="176">
        <f t="shared" si="0"/>
        <v>3476400.4300000062</v>
      </c>
      <c r="F69" s="229"/>
      <c r="G69" s="247"/>
      <c r="H69" s="325"/>
      <c r="I69" s="185"/>
      <c r="J69" s="185"/>
      <c r="K69" s="185"/>
      <c r="L69" s="190"/>
      <c r="M69" s="190"/>
      <c r="N69" s="190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.75" customHeight="1" x14ac:dyDescent="0.25">
      <c r="A70" s="51">
        <v>46057</v>
      </c>
      <c r="B70" s="293" t="s">
        <v>60</v>
      </c>
      <c r="C70" s="330">
        <v>1487.23</v>
      </c>
      <c r="D70" s="329"/>
      <c r="E70" s="176">
        <f t="shared" si="0"/>
        <v>3474913.2000000062</v>
      </c>
      <c r="F70" s="185"/>
      <c r="G70" s="185"/>
      <c r="H70" s="185"/>
      <c r="I70" s="181"/>
      <c r="J70" s="232"/>
      <c r="K70" s="233"/>
      <c r="L70" s="190"/>
      <c r="M70" s="190"/>
      <c r="N70" s="190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.75" customHeight="1" x14ac:dyDescent="0.25">
      <c r="A71" s="51">
        <v>46057</v>
      </c>
      <c r="B71" s="293" t="s">
        <v>61</v>
      </c>
      <c r="C71" s="330">
        <v>237.96</v>
      </c>
      <c r="D71" s="329"/>
      <c r="E71" s="176">
        <f t="shared" si="0"/>
        <v>3474675.2400000063</v>
      </c>
      <c r="F71" s="185"/>
      <c r="G71" s="185"/>
      <c r="H71" s="185"/>
      <c r="I71" s="183"/>
      <c r="J71" s="84"/>
      <c r="K71" s="248"/>
      <c r="L71" s="190"/>
      <c r="M71" s="190"/>
      <c r="N71" s="190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.75" customHeight="1" x14ac:dyDescent="0.25">
      <c r="A72" s="51">
        <v>46057</v>
      </c>
      <c r="B72" s="293" t="s">
        <v>20</v>
      </c>
      <c r="C72" s="329"/>
      <c r="D72" s="330">
        <v>68864.3</v>
      </c>
      <c r="E72" s="176">
        <f t="shared" ref="E72:E135" si="1">E71-C72+D72</f>
        <v>3543539.5400000061</v>
      </c>
      <c r="F72" s="185"/>
      <c r="G72" s="185"/>
      <c r="H72" s="185"/>
      <c r="I72" s="181"/>
      <c r="J72" s="70"/>
      <c r="K72" s="233"/>
      <c r="L72" s="190"/>
      <c r="M72" s="190"/>
      <c r="N72" s="190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.75" customHeight="1" x14ac:dyDescent="0.25">
      <c r="A73" s="51">
        <v>46057</v>
      </c>
      <c r="B73" s="293" t="s">
        <v>64</v>
      </c>
      <c r="C73" s="330">
        <v>550.94000000000005</v>
      </c>
      <c r="D73" s="329"/>
      <c r="E73" s="176">
        <f t="shared" si="1"/>
        <v>3542988.6000000061</v>
      </c>
      <c r="F73" s="229"/>
      <c r="G73" s="239"/>
      <c r="H73" s="196"/>
      <c r="I73" s="190"/>
      <c r="J73" s="190"/>
      <c r="K73" s="182"/>
      <c r="L73" s="190"/>
      <c r="M73" s="190"/>
      <c r="N73" s="190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.75" customHeight="1" x14ac:dyDescent="0.25">
      <c r="A74" s="51">
        <v>46057</v>
      </c>
      <c r="B74" s="293" t="s">
        <v>65</v>
      </c>
      <c r="C74" s="330">
        <v>88.15</v>
      </c>
      <c r="D74" s="329"/>
      <c r="E74" s="176">
        <f t="shared" si="1"/>
        <v>3542900.4500000062</v>
      </c>
      <c r="F74" s="204"/>
      <c r="G74" s="181"/>
      <c r="H74" s="205"/>
      <c r="I74" s="181"/>
      <c r="J74" s="206"/>
      <c r="K74" s="182"/>
      <c r="L74" s="190"/>
      <c r="M74" s="190"/>
      <c r="N74" s="190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.75" customHeight="1" x14ac:dyDescent="0.25">
      <c r="A75" s="51">
        <v>46058</v>
      </c>
      <c r="B75" s="293" t="s">
        <v>19</v>
      </c>
      <c r="C75" s="329"/>
      <c r="D75" s="330">
        <v>9674.17</v>
      </c>
      <c r="E75" s="176">
        <f t="shared" si="1"/>
        <v>3552574.6200000062</v>
      </c>
      <c r="F75" s="75"/>
      <c r="G75" s="251"/>
      <c r="H75" s="190"/>
      <c r="I75" s="185"/>
      <c r="J75" s="190"/>
      <c r="K75" s="182"/>
      <c r="L75" s="190"/>
      <c r="M75" s="190"/>
      <c r="N75" s="190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.75" customHeight="1" x14ac:dyDescent="0.25">
      <c r="A76" s="51">
        <v>46058</v>
      </c>
      <c r="B76" s="293" t="s">
        <v>60</v>
      </c>
      <c r="C76" s="330">
        <v>77.38</v>
      </c>
      <c r="D76" s="329"/>
      <c r="E76" s="176">
        <f t="shared" si="1"/>
        <v>3552497.2400000063</v>
      </c>
      <c r="F76" s="204"/>
      <c r="G76" s="181"/>
      <c r="H76" s="205"/>
      <c r="I76" s="181"/>
      <c r="J76" s="206"/>
      <c r="K76" s="182"/>
      <c r="L76" s="190"/>
      <c r="M76" s="190"/>
      <c r="N76" s="190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.75" customHeight="1" x14ac:dyDescent="0.25">
      <c r="A77" s="51">
        <v>46058</v>
      </c>
      <c r="B77" s="293" t="s">
        <v>61</v>
      </c>
      <c r="C77" s="330">
        <v>12.38</v>
      </c>
      <c r="D77" s="329"/>
      <c r="E77" s="176">
        <f t="shared" si="1"/>
        <v>3552484.8600000064</v>
      </c>
      <c r="F77" s="185"/>
      <c r="G77" s="185"/>
      <c r="H77" s="185"/>
      <c r="I77" s="190"/>
      <c r="J77" s="190"/>
      <c r="K77" s="182"/>
      <c r="L77" s="190"/>
      <c r="M77" s="190"/>
      <c r="N77" s="190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75" customHeight="1" x14ac:dyDescent="0.25">
      <c r="A78" s="51">
        <v>46058</v>
      </c>
      <c r="B78" s="293" t="s">
        <v>20</v>
      </c>
      <c r="C78" s="329"/>
      <c r="D78" s="330">
        <v>3175.06</v>
      </c>
      <c r="E78" s="176">
        <f t="shared" si="1"/>
        <v>3555659.9200000064</v>
      </c>
      <c r="F78" s="185"/>
      <c r="G78" s="185"/>
      <c r="H78" s="182"/>
      <c r="I78" s="190"/>
      <c r="J78" s="190"/>
      <c r="K78" s="182"/>
      <c r="L78" s="190"/>
      <c r="M78" s="190"/>
      <c r="N78" s="190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75" customHeight="1" x14ac:dyDescent="0.25">
      <c r="A79" s="51">
        <v>46058</v>
      </c>
      <c r="B79" s="293" t="s">
        <v>64</v>
      </c>
      <c r="C79" s="330">
        <v>25.4</v>
      </c>
      <c r="D79" s="329"/>
      <c r="E79" s="176">
        <f t="shared" si="1"/>
        <v>3555634.5200000065</v>
      </c>
      <c r="F79" s="229"/>
      <c r="G79" s="239"/>
      <c r="H79" s="196"/>
      <c r="I79" s="181"/>
      <c r="J79" s="49"/>
      <c r="K79" s="233"/>
      <c r="L79" s="190"/>
      <c r="M79" s="190"/>
      <c r="N79" s="190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75" customHeight="1" x14ac:dyDescent="0.25">
      <c r="A80" s="51">
        <v>46058</v>
      </c>
      <c r="B80" s="293" t="s">
        <v>65</v>
      </c>
      <c r="C80" s="330">
        <v>4.0599999999999996</v>
      </c>
      <c r="D80" s="329"/>
      <c r="E80" s="176">
        <f t="shared" si="1"/>
        <v>3555630.4600000065</v>
      </c>
      <c r="F80" s="324"/>
      <c r="G80" s="181"/>
      <c r="H80" s="182"/>
      <c r="I80" s="190"/>
      <c r="J80" s="190"/>
      <c r="K80" s="182"/>
      <c r="L80" s="190"/>
      <c r="M80" s="190"/>
      <c r="N80" s="190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75" customHeight="1" x14ac:dyDescent="0.25">
      <c r="A81" s="51">
        <v>46058</v>
      </c>
      <c r="B81" s="293" t="s">
        <v>20</v>
      </c>
      <c r="C81" s="329"/>
      <c r="D81" s="330">
        <v>342.62</v>
      </c>
      <c r="E81" s="176">
        <f t="shared" si="1"/>
        <v>3555973.0800000066</v>
      </c>
      <c r="F81" s="229"/>
      <c r="G81" s="247"/>
      <c r="H81" s="325"/>
      <c r="I81" s="183"/>
      <c r="J81" s="84"/>
      <c r="K81" s="246"/>
      <c r="L81" s="190"/>
      <c r="M81" s="190"/>
      <c r="N81" s="190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75" customHeight="1" x14ac:dyDescent="0.25">
      <c r="A82" s="51">
        <v>46058</v>
      </c>
      <c r="B82" s="293" t="s">
        <v>101</v>
      </c>
      <c r="C82" s="330">
        <v>10.11</v>
      </c>
      <c r="D82" s="329"/>
      <c r="E82" s="176">
        <f t="shared" si="1"/>
        <v>3555962.9700000067</v>
      </c>
      <c r="F82" s="180"/>
      <c r="G82" s="181"/>
      <c r="H82" s="182"/>
      <c r="I82" s="190"/>
      <c r="J82" s="190"/>
      <c r="K82" s="182"/>
      <c r="L82" s="190"/>
      <c r="M82" s="190"/>
      <c r="N82" s="190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75" customHeight="1" x14ac:dyDescent="0.25">
      <c r="A83" s="51">
        <v>46058</v>
      </c>
      <c r="B83" s="293" t="s">
        <v>102</v>
      </c>
      <c r="C83" s="330">
        <v>1.62</v>
      </c>
      <c r="D83" s="329"/>
      <c r="E83" s="176">
        <f t="shared" si="1"/>
        <v>3555961.3500000066</v>
      </c>
      <c r="F83" s="185"/>
      <c r="G83" s="185"/>
      <c r="H83" s="185"/>
      <c r="I83" s="190"/>
      <c r="J83" s="190"/>
      <c r="K83" s="182"/>
      <c r="L83" s="190"/>
      <c r="M83" s="190"/>
      <c r="N83" s="190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75" customHeight="1" x14ac:dyDescent="0.25">
      <c r="A84" s="51">
        <v>46058</v>
      </c>
      <c r="B84" s="293" t="s">
        <v>20</v>
      </c>
      <c r="C84" s="329"/>
      <c r="D84" s="330">
        <v>52401.86</v>
      </c>
      <c r="E84" s="176">
        <f t="shared" si="1"/>
        <v>3608363.2100000065</v>
      </c>
      <c r="F84" s="185"/>
      <c r="G84" s="185"/>
      <c r="H84" s="185"/>
      <c r="I84" s="190"/>
      <c r="J84" s="190"/>
      <c r="K84" s="182"/>
      <c r="L84" s="190"/>
      <c r="M84" s="190"/>
      <c r="N84" s="190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 customHeight="1" x14ac:dyDescent="0.25">
      <c r="A85" s="51">
        <v>46058</v>
      </c>
      <c r="B85" s="293" t="s">
        <v>64</v>
      </c>
      <c r="C85" s="330">
        <v>419.23</v>
      </c>
      <c r="D85" s="329"/>
      <c r="E85" s="176">
        <f t="shared" si="1"/>
        <v>3607943.9800000065</v>
      </c>
      <c r="F85" s="253"/>
      <c r="G85" s="251"/>
      <c r="H85" s="185"/>
      <c r="I85" s="181"/>
      <c r="J85" s="70"/>
      <c r="K85" s="233"/>
      <c r="L85" s="190"/>
      <c r="M85" s="190"/>
      <c r="N85" s="190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customHeight="1" x14ac:dyDescent="0.25">
      <c r="A86" s="51">
        <v>46058</v>
      </c>
      <c r="B86" s="293" t="s">
        <v>65</v>
      </c>
      <c r="C86" s="330">
        <v>67.08</v>
      </c>
      <c r="D86" s="329"/>
      <c r="E86" s="176">
        <f t="shared" si="1"/>
        <v>3607876.9000000064</v>
      </c>
      <c r="F86" s="80"/>
      <c r="G86" s="254"/>
      <c r="H86" s="255"/>
      <c r="I86" s="190"/>
      <c r="J86" s="190"/>
      <c r="K86" s="182"/>
      <c r="L86" s="190"/>
      <c r="M86" s="190"/>
      <c r="N86" s="190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75" customHeight="1" x14ac:dyDescent="0.25">
      <c r="A87" s="51">
        <v>46058</v>
      </c>
      <c r="B87" s="293" t="s">
        <v>19</v>
      </c>
      <c r="C87" s="329"/>
      <c r="D87" s="330">
        <v>160015.91</v>
      </c>
      <c r="E87" s="176">
        <f t="shared" si="1"/>
        <v>3767892.8100000066</v>
      </c>
      <c r="F87" s="75"/>
      <c r="G87" s="326"/>
      <c r="H87" s="327"/>
      <c r="I87" s="190"/>
      <c r="J87" s="190"/>
      <c r="K87" s="182"/>
      <c r="L87" s="190"/>
      <c r="M87" s="190"/>
      <c r="N87" s="190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75" customHeight="1" x14ac:dyDescent="0.25">
      <c r="A88" s="51">
        <v>46058</v>
      </c>
      <c r="B88" s="293" t="s">
        <v>60</v>
      </c>
      <c r="C88" s="330">
        <v>1280.32</v>
      </c>
      <c r="D88" s="329"/>
      <c r="E88" s="176">
        <f t="shared" si="1"/>
        <v>3766612.4900000067</v>
      </c>
      <c r="F88" s="185"/>
      <c r="G88" s="185"/>
      <c r="H88" s="185"/>
      <c r="I88" s="183"/>
      <c r="J88" s="75"/>
      <c r="K88" s="248"/>
      <c r="L88" s="190"/>
      <c r="M88" s="190"/>
      <c r="N88" s="190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75" customHeight="1" x14ac:dyDescent="0.25">
      <c r="A89" s="51">
        <v>46058</v>
      </c>
      <c r="B89" s="293" t="s">
        <v>61</v>
      </c>
      <c r="C89" s="330">
        <v>204.85</v>
      </c>
      <c r="D89" s="329"/>
      <c r="E89" s="176">
        <f t="shared" si="1"/>
        <v>3766407.6400000066</v>
      </c>
      <c r="F89" s="204"/>
      <c r="G89" s="181"/>
      <c r="H89" s="205"/>
      <c r="I89" s="181"/>
      <c r="J89" s="206"/>
      <c r="K89" s="182"/>
      <c r="L89" s="190"/>
      <c r="M89" s="190"/>
      <c r="N89" s="190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75" customHeight="1" x14ac:dyDescent="0.25">
      <c r="A90" s="51">
        <v>46059</v>
      </c>
      <c r="B90" s="293" t="s">
        <v>19</v>
      </c>
      <c r="C90" s="329"/>
      <c r="D90" s="330">
        <v>13322.09</v>
      </c>
      <c r="E90" s="176">
        <f t="shared" si="1"/>
        <v>3779729.7300000065</v>
      </c>
      <c r="F90" s="234"/>
      <c r="G90" s="252"/>
      <c r="H90" s="205"/>
      <c r="I90" s="190"/>
      <c r="J90" s="185"/>
      <c r="K90" s="233"/>
      <c r="L90" s="190"/>
      <c r="M90" s="190"/>
      <c r="N90" s="190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.75" customHeight="1" x14ac:dyDescent="0.25">
      <c r="A91" s="51">
        <v>46059</v>
      </c>
      <c r="B91" s="293" t="s">
        <v>60</v>
      </c>
      <c r="C91" s="330">
        <v>106.58</v>
      </c>
      <c r="D91" s="329"/>
      <c r="E91" s="176">
        <f t="shared" si="1"/>
        <v>3779623.1500000064</v>
      </c>
      <c r="F91" s="204"/>
      <c r="G91" s="181"/>
      <c r="H91" s="205"/>
      <c r="I91" s="181"/>
      <c r="J91" s="206"/>
      <c r="K91" s="182"/>
      <c r="L91" s="190"/>
      <c r="M91" s="190"/>
      <c r="N91" s="190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75" customHeight="1" x14ac:dyDescent="0.25">
      <c r="A92" s="51">
        <v>46059</v>
      </c>
      <c r="B92" s="293" t="s">
        <v>61</v>
      </c>
      <c r="C92" s="330">
        <v>17.05</v>
      </c>
      <c r="D92" s="329"/>
      <c r="E92" s="176">
        <f t="shared" si="1"/>
        <v>3779606.1000000066</v>
      </c>
      <c r="F92" s="229"/>
      <c r="G92" s="239"/>
      <c r="H92" s="243"/>
      <c r="I92" s="185"/>
      <c r="J92" s="185"/>
      <c r="K92" s="185"/>
      <c r="L92" s="190"/>
      <c r="M92" s="190"/>
      <c r="N92" s="190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.75" customHeight="1" x14ac:dyDescent="0.25">
      <c r="A93" s="51">
        <v>46059</v>
      </c>
      <c r="B93" s="293" t="s">
        <v>20</v>
      </c>
      <c r="C93" s="329"/>
      <c r="D93" s="330">
        <v>924.2</v>
      </c>
      <c r="E93" s="176">
        <f t="shared" si="1"/>
        <v>3780530.3000000068</v>
      </c>
      <c r="F93" s="256"/>
      <c r="G93" s="236"/>
      <c r="H93" s="190"/>
      <c r="I93" s="190"/>
      <c r="J93" s="190"/>
      <c r="K93" s="182"/>
      <c r="L93" s="190"/>
      <c r="M93" s="190"/>
      <c r="N93" s="190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.75" customHeight="1" x14ac:dyDescent="0.25">
      <c r="A94" s="51">
        <v>46059</v>
      </c>
      <c r="B94" s="293" t="s">
        <v>64</v>
      </c>
      <c r="C94" s="330">
        <v>7.39</v>
      </c>
      <c r="D94" s="329"/>
      <c r="E94" s="176">
        <f t="shared" si="1"/>
        <v>3780522.9100000067</v>
      </c>
      <c r="F94" s="190"/>
      <c r="G94" s="236"/>
      <c r="H94" s="190"/>
      <c r="I94" s="190"/>
      <c r="J94" s="190"/>
      <c r="K94" s="182"/>
      <c r="L94" s="190"/>
      <c r="M94" s="190"/>
      <c r="N94" s="190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.75" customHeight="1" x14ac:dyDescent="0.25">
      <c r="A95" s="51">
        <v>46059</v>
      </c>
      <c r="B95" s="293" t="s">
        <v>65</v>
      </c>
      <c r="C95" s="330">
        <v>1.18</v>
      </c>
      <c r="D95" s="329"/>
      <c r="E95" s="176">
        <f t="shared" si="1"/>
        <v>3780521.7300000065</v>
      </c>
      <c r="F95" s="324"/>
      <c r="G95" s="181"/>
      <c r="H95" s="182"/>
      <c r="I95" s="190"/>
      <c r="J95" s="190"/>
      <c r="K95" s="182"/>
      <c r="L95" s="190"/>
      <c r="M95" s="190"/>
      <c r="N95" s="190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75" customHeight="1" x14ac:dyDescent="0.25">
      <c r="A96" s="51">
        <v>46059</v>
      </c>
      <c r="B96" s="293" t="s">
        <v>19</v>
      </c>
      <c r="C96" s="329"/>
      <c r="D96" s="330">
        <v>134905.24</v>
      </c>
      <c r="E96" s="176">
        <f t="shared" si="1"/>
        <v>3915426.9700000063</v>
      </c>
      <c r="F96" s="229"/>
      <c r="G96" s="247"/>
      <c r="H96" s="325"/>
      <c r="I96" s="196"/>
      <c r="J96" s="190"/>
      <c r="K96" s="182"/>
      <c r="L96" s="190"/>
      <c r="M96" s="190"/>
      <c r="N96" s="190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75" customHeight="1" x14ac:dyDescent="0.25">
      <c r="A97" s="51">
        <v>46059</v>
      </c>
      <c r="B97" s="293" t="s">
        <v>60</v>
      </c>
      <c r="C97" s="330">
        <v>1079.21</v>
      </c>
      <c r="D97" s="329"/>
      <c r="E97" s="176">
        <f t="shared" si="1"/>
        <v>3914347.7600000063</v>
      </c>
      <c r="F97" s="190"/>
      <c r="G97" s="181"/>
      <c r="H97" s="190"/>
      <c r="I97" s="190"/>
      <c r="J97" s="190"/>
      <c r="K97" s="182"/>
      <c r="L97" s="190"/>
      <c r="M97" s="190"/>
      <c r="N97" s="190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75" customHeight="1" x14ac:dyDescent="0.25">
      <c r="A98" s="51">
        <v>46059</v>
      </c>
      <c r="B98" s="293" t="s">
        <v>61</v>
      </c>
      <c r="C98" s="330">
        <v>172.67</v>
      </c>
      <c r="D98" s="329"/>
      <c r="E98" s="176">
        <f t="shared" si="1"/>
        <v>3914175.0900000064</v>
      </c>
      <c r="F98" s="180"/>
      <c r="G98" s="181"/>
      <c r="H98" s="182"/>
      <c r="I98" s="181"/>
      <c r="J98" s="70"/>
      <c r="K98" s="233"/>
      <c r="L98" s="190"/>
      <c r="M98" s="190"/>
      <c r="N98" s="190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75" customHeight="1" x14ac:dyDescent="0.25">
      <c r="A99" s="51">
        <v>46059</v>
      </c>
      <c r="B99" s="293" t="s">
        <v>20</v>
      </c>
      <c r="C99" s="329"/>
      <c r="D99" s="330">
        <v>41035.440000000002</v>
      </c>
      <c r="E99" s="176">
        <f t="shared" si="1"/>
        <v>3955210.5300000063</v>
      </c>
      <c r="F99" s="229"/>
      <c r="G99" s="247"/>
      <c r="H99" s="184"/>
      <c r="I99" s="190"/>
      <c r="J99" s="190"/>
      <c r="K99" s="182"/>
      <c r="L99" s="190"/>
      <c r="M99" s="190"/>
      <c r="N99" s="190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75" customHeight="1" x14ac:dyDescent="0.25">
      <c r="A100" s="51">
        <v>46059</v>
      </c>
      <c r="B100" s="293" t="s">
        <v>64</v>
      </c>
      <c r="C100" s="330">
        <v>328.3</v>
      </c>
      <c r="D100" s="329"/>
      <c r="E100" s="176">
        <f t="shared" si="1"/>
        <v>3954882.2300000065</v>
      </c>
      <c r="F100" s="211"/>
      <c r="G100" s="83"/>
      <c r="H100" s="245"/>
      <c r="I100" s="183"/>
      <c r="J100" s="84"/>
      <c r="K100" s="246"/>
      <c r="L100" s="190"/>
      <c r="M100" s="190"/>
      <c r="N100" s="190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 customHeight="1" x14ac:dyDescent="0.25">
      <c r="A101" s="51">
        <v>46059</v>
      </c>
      <c r="B101" s="293" t="s">
        <v>65</v>
      </c>
      <c r="C101" s="330">
        <v>52.53</v>
      </c>
      <c r="D101" s="329"/>
      <c r="E101" s="176">
        <f t="shared" si="1"/>
        <v>3954829.7000000067</v>
      </c>
      <c r="F101" s="204"/>
      <c r="G101" s="181"/>
      <c r="H101" s="205"/>
      <c r="I101" s="181"/>
      <c r="J101" s="206"/>
      <c r="K101" s="182"/>
      <c r="L101" s="190"/>
      <c r="M101" s="190"/>
      <c r="N101" s="190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customHeight="1" x14ac:dyDescent="0.25">
      <c r="A102" s="51">
        <v>46059</v>
      </c>
      <c r="B102" s="294" t="s">
        <v>118</v>
      </c>
      <c r="C102" s="330">
        <v>700000</v>
      </c>
      <c r="D102" s="329"/>
      <c r="E102" s="176">
        <f t="shared" si="1"/>
        <v>3254829.7000000067</v>
      </c>
      <c r="F102" s="257"/>
      <c r="G102" s="258"/>
      <c r="H102" s="259"/>
      <c r="I102" s="190"/>
      <c r="J102" s="190"/>
      <c r="K102" s="182"/>
      <c r="L102" s="190"/>
      <c r="M102" s="190"/>
      <c r="N102" s="190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customHeight="1" x14ac:dyDescent="0.25">
      <c r="A103" s="51">
        <v>46062</v>
      </c>
      <c r="B103" s="294" t="s">
        <v>19</v>
      </c>
      <c r="C103" s="329"/>
      <c r="D103" s="330">
        <v>6611.1</v>
      </c>
      <c r="E103" s="176">
        <f t="shared" si="1"/>
        <v>3261440.8000000068</v>
      </c>
      <c r="F103" s="260"/>
      <c r="G103" s="236"/>
      <c r="H103" s="190"/>
      <c r="I103" s="190"/>
      <c r="J103" s="190"/>
      <c r="K103" s="182"/>
      <c r="L103" s="190"/>
      <c r="M103" s="190"/>
      <c r="N103" s="190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customHeight="1" x14ac:dyDescent="0.25">
      <c r="A104" s="51">
        <v>46062</v>
      </c>
      <c r="B104" s="294" t="s">
        <v>60</v>
      </c>
      <c r="C104" s="330">
        <v>52.9</v>
      </c>
      <c r="D104" s="329"/>
      <c r="E104" s="176">
        <f t="shared" si="1"/>
        <v>3261387.9000000069</v>
      </c>
      <c r="F104" s="204"/>
      <c r="G104" s="181"/>
      <c r="H104" s="205"/>
      <c r="I104" s="181"/>
      <c r="J104" s="206"/>
      <c r="K104" s="182"/>
      <c r="L104" s="190"/>
      <c r="M104" s="190"/>
      <c r="N104" s="190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25">
      <c r="A105" s="51">
        <v>46062</v>
      </c>
      <c r="B105" s="294" t="s">
        <v>61</v>
      </c>
      <c r="C105" s="330">
        <v>8.4600000000000009</v>
      </c>
      <c r="D105" s="329"/>
      <c r="E105" s="176">
        <f t="shared" si="1"/>
        <v>3261379.4400000069</v>
      </c>
      <c r="F105" s="185"/>
      <c r="G105" s="185"/>
      <c r="H105" s="185"/>
      <c r="I105" s="190"/>
      <c r="J105" s="190"/>
      <c r="K105" s="182"/>
      <c r="L105" s="190"/>
      <c r="M105" s="190"/>
      <c r="N105" s="190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25">
      <c r="A106" s="51">
        <v>46062</v>
      </c>
      <c r="B106" s="294" t="s">
        <v>20</v>
      </c>
      <c r="C106" s="329"/>
      <c r="D106" s="330">
        <v>2802.24</v>
      </c>
      <c r="E106" s="176">
        <f t="shared" si="1"/>
        <v>3264181.6800000072</v>
      </c>
      <c r="F106" s="237"/>
      <c r="G106" s="181"/>
      <c r="H106" s="182"/>
      <c r="I106" s="183"/>
      <c r="J106" s="84"/>
      <c r="K106" s="248"/>
      <c r="L106" s="190"/>
      <c r="M106" s="190"/>
      <c r="N106" s="190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25">
      <c r="A107" s="51">
        <v>46062</v>
      </c>
      <c r="B107" s="294" t="s">
        <v>64</v>
      </c>
      <c r="C107" s="330">
        <v>22.42</v>
      </c>
      <c r="D107" s="329"/>
      <c r="E107" s="176">
        <f t="shared" si="1"/>
        <v>3264159.2600000072</v>
      </c>
      <c r="F107" s="229"/>
      <c r="G107" s="239"/>
      <c r="H107" s="243"/>
      <c r="I107" s="185"/>
      <c r="J107" s="185"/>
      <c r="K107" s="185"/>
      <c r="L107" s="190"/>
      <c r="M107" s="190"/>
      <c r="N107" s="190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25">
      <c r="A108" s="51">
        <v>46062</v>
      </c>
      <c r="B108" s="294" t="s">
        <v>65</v>
      </c>
      <c r="C108" s="330">
        <v>3.59</v>
      </c>
      <c r="D108" s="329"/>
      <c r="E108" s="176">
        <f t="shared" si="1"/>
        <v>3264155.6700000074</v>
      </c>
      <c r="F108" s="324"/>
      <c r="G108" s="181"/>
      <c r="H108" s="182"/>
      <c r="I108" s="181"/>
      <c r="J108" s="49"/>
      <c r="K108" s="233"/>
      <c r="L108" s="190"/>
      <c r="M108" s="190"/>
      <c r="N108" s="190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25">
      <c r="A109" s="51">
        <v>46062</v>
      </c>
      <c r="B109" s="294" t="s">
        <v>19</v>
      </c>
      <c r="C109" s="329"/>
      <c r="D109" s="330">
        <v>159371.35999999999</v>
      </c>
      <c r="E109" s="176">
        <f t="shared" si="1"/>
        <v>3423527.0300000072</v>
      </c>
      <c r="F109" s="229"/>
      <c r="G109" s="247"/>
      <c r="H109" s="325"/>
      <c r="I109" s="190"/>
      <c r="J109" s="190"/>
      <c r="K109" s="182"/>
      <c r="L109" s="190"/>
      <c r="M109" s="190"/>
      <c r="N109" s="190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25">
      <c r="A110" s="51">
        <v>46062</v>
      </c>
      <c r="B110" s="294" t="s">
        <v>60</v>
      </c>
      <c r="C110" s="330">
        <v>1275.03</v>
      </c>
      <c r="D110" s="329"/>
      <c r="E110" s="176">
        <f t="shared" si="1"/>
        <v>3422252.0000000075</v>
      </c>
      <c r="F110" s="180"/>
      <c r="G110" s="181"/>
      <c r="H110" s="182"/>
      <c r="I110" s="181"/>
      <c r="J110" s="70"/>
      <c r="K110" s="233"/>
      <c r="L110" s="190"/>
      <c r="M110" s="190"/>
      <c r="N110" s="190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25">
      <c r="A111" s="51">
        <v>46062</v>
      </c>
      <c r="B111" s="294" t="s">
        <v>61</v>
      </c>
      <c r="C111" s="330">
        <v>204</v>
      </c>
      <c r="D111" s="329"/>
      <c r="E111" s="176">
        <f t="shared" si="1"/>
        <v>3422048.0000000075</v>
      </c>
      <c r="F111" s="229"/>
      <c r="G111" s="247"/>
      <c r="H111" s="184"/>
      <c r="I111" s="190"/>
      <c r="J111" s="190"/>
      <c r="K111" s="182"/>
      <c r="L111" s="190"/>
      <c r="M111" s="190"/>
      <c r="N111" s="190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25">
      <c r="A112" s="51">
        <v>46062</v>
      </c>
      <c r="B112" s="294" t="s">
        <v>20</v>
      </c>
      <c r="C112" s="329"/>
      <c r="D112" s="330">
        <v>51224.39</v>
      </c>
      <c r="E112" s="176">
        <f t="shared" si="1"/>
        <v>3473272.3900000076</v>
      </c>
      <c r="F112" s="211"/>
      <c r="G112" s="83"/>
      <c r="H112" s="245"/>
      <c r="I112" s="183"/>
      <c r="J112" s="84"/>
      <c r="K112" s="246"/>
      <c r="L112" s="190"/>
      <c r="M112" s="190"/>
      <c r="N112" s="190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25">
      <c r="A113" s="51">
        <v>46062</v>
      </c>
      <c r="B113" s="294" t="s">
        <v>64</v>
      </c>
      <c r="C113" s="330">
        <v>409.81</v>
      </c>
      <c r="D113" s="329"/>
      <c r="E113" s="176">
        <f t="shared" si="1"/>
        <v>3472862.5800000075</v>
      </c>
      <c r="F113" s="229"/>
      <c r="G113" s="239"/>
      <c r="H113" s="196"/>
      <c r="I113" s="190"/>
      <c r="J113" s="190"/>
      <c r="K113" s="182"/>
      <c r="L113" s="190"/>
      <c r="M113" s="190"/>
      <c r="N113" s="190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25">
      <c r="A114" s="51">
        <v>46062</v>
      </c>
      <c r="B114" s="294" t="s">
        <v>65</v>
      </c>
      <c r="C114" s="330">
        <v>65.569999999999993</v>
      </c>
      <c r="D114" s="329"/>
      <c r="E114" s="176">
        <f t="shared" si="1"/>
        <v>3472797.0100000077</v>
      </c>
      <c r="F114" s="185"/>
      <c r="G114" s="185"/>
      <c r="H114" s="185"/>
      <c r="I114" s="190"/>
      <c r="J114" s="190"/>
      <c r="K114" s="182"/>
      <c r="L114" s="190"/>
      <c r="M114" s="190"/>
      <c r="N114" s="190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25">
      <c r="A115" s="51">
        <v>46062</v>
      </c>
      <c r="B115" s="294" t="s">
        <v>20</v>
      </c>
      <c r="C115" s="329"/>
      <c r="D115" s="330">
        <v>5946.3</v>
      </c>
      <c r="E115" s="176">
        <f t="shared" si="1"/>
        <v>3478743.3100000075</v>
      </c>
      <c r="F115" s="185"/>
      <c r="G115" s="185"/>
      <c r="H115" s="185"/>
      <c r="I115" s="190"/>
      <c r="J115" s="190"/>
      <c r="K115" s="182"/>
      <c r="L115" s="190"/>
      <c r="M115" s="190"/>
      <c r="N115" s="190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25">
      <c r="A116" s="51">
        <v>46062</v>
      </c>
      <c r="B116" s="294" t="s">
        <v>64</v>
      </c>
      <c r="C116" s="330">
        <v>47.57</v>
      </c>
      <c r="D116" s="329"/>
      <c r="E116" s="176">
        <f t="shared" si="1"/>
        <v>3478695.7400000077</v>
      </c>
      <c r="F116" s="204"/>
      <c r="G116" s="181"/>
      <c r="H116" s="205"/>
      <c r="I116" s="181"/>
      <c r="J116" s="206"/>
      <c r="K116" s="182"/>
      <c r="L116" s="190"/>
      <c r="M116" s="190"/>
      <c r="N116" s="190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25">
      <c r="A117" s="51">
        <v>46062</v>
      </c>
      <c r="B117" s="294" t="s">
        <v>65</v>
      </c>
      <c r="C117" s="330">
        <v>7.61</v>
      </c>
      <c r="D117" s="329"/>
      <c r="E117" s="176">
        <f t="shared" si="1"/>
        <v>3478688.1300000078</v>
      </c>
      <c r="F117" s="211"/>
      <c r="G117" s="83"/>
      <c r="H117" s="212"/>
      <c r="I117" s="183"/>
      <c r="J117" s="84"/>
      <c r="K117" s="248"/>
      <c r="L117" s="190"/>
      <c r="M117" s="190"/>
      <c r="N117" s="190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25">
      <c r="A118" s="51">
        <v>46062</v>
      </c>
      <c r="B118" s="294" t="s">
        <v>19</v>
      </c>
      <c r="C118" s="329"/>
      <c r="D118" s="330">
        <v>11296.7</v>
      </c>
      <c r="E118" s="176">
        <f t="shared" si="1"/>
        <v>3489984.830000008</v>
      </c>
      <c r="F118" s="237"/>
      <c r="G118" s="181"/>
      <c r="H118" s="182"/>
      <c r="I118" s="190"/>
      <c r="J118" s="190"/>
      <c r="K118" s="182"/>
      <c r="L118" s="190"/>
      <c r="M118" s="190"/>
      <c r="N118" s="190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25">
      <c r="A119" s="51">
        <v>46062</v>
      </c>
      <c r="B119" s="294" t="s">
        <v>60</v>
      </c>
      <c r="C119" s="330">
        <v>90.38</v>
      </c>
      <c r="D119" s="329"/>
      <c r="E119" s="176">
        <f t="shared" si="1"/>
        <v>3489894.4500000081</v>
      </c>
      <c r="F119" s="229"/>
      <c r="G119" s="239"/>
      <c r="H119" s="243"/>
      <c r="I119" s="190"/>
      <c r="J119" s="190"/>
      <c r="K119" s="182"/>
      <c r="L119" s="190"/>
      <c r="M119" s="190"/>
      <c r="N119" s="190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25">
      <c r="A120" s="51">
        <v>46062</v>
      </c>
      <c r="B120" s="294" t="s">
        <v>61</v>
      </c>
      <c r="C120" s="330">
        <v>14.46</v>
      </c>
      <c r="D120" s="329"/>
      <c r="E120" s="176">
        <f t="shared" si="1"/>
        <v>3489879.9900000081</v>
      </c>
      <c r="F120" s="185"/>
      <c r="G120" s="185"/>
      <c r="H120" s="185"/>
      <c r="I120" s="190"/>
      <c r="J120" s="190"/>
      <c r="K120" s="182"/>
      <c r="L120" s="190"/>
      <c r="M120" s="190"/>
      <c r="N120" s="190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25">
      <c r="A121" s="51">
        <v>46062</v>
      </c>
      <c r="B121" s="294" t="s">
        <v>19</v>
      </c>
      <c r="C121" s="329"/>
      <c r="D121" s="330">
        <v>215211.35</v>
      </c>
      <c r="E121" s="176">
        <f t="shared" si="1"/>
        <v>3705091.3400000082</v>
      </c>
      <c r="F121" s="80"/>
      <c r="G121" s="253"/>
      <c r="H121" s="185"/>
      <c r="I121" s="185"/>
      <c r="J121" s="185"/>
      <c r="K121" s="185"/>
      <c r="L121" s="190"/>
      <c r="M121" s="190"/>
      <c r="N121" s="190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25">
      <c r="A122" s="51">
        <v>46062</v>
      </c>
      <c r="B122" s="294" t="s">
        <v>60</v>
      </c>
      <c r="C122" s="330">
        <v>1721.75</v>
      </c>
      <c r="D122" s="329"/>
      <c r="E122" s="176">
        <f t="shared" si="1"/>
        <v>3703369.5900000082</v>
      </c>
      <c r="F122" s="82"/>
      <c r="G122" s="261"/>
      <c r="H122" s="196"/>
      <c r="I122" s="190"/>
      <c r="J122" s="190"/>
      <c r="K122" s="182"/>
      <c r="L122" s="190"/>
      <c r="M122" s="190"/>
      <c r="N122" s="190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25">
      <c r="A123" s="51">
        <v>46062</v>
      </c>
      <c r="B123" s="294" t="s">
        <v>61</v>
      </c>
      <c r="C123" s="330">
        <v>275.48</v>
      </c>
      <c r="D123" s="329"/>
      <c r="E123" s="176">
        <f t="shared" si="1"/>
        <v>3703094.1100000083</v>
      </c>
      <c r="F123" s="185"/>
      <c r="G123" s="185"/>
      <c r="H123" s="185"/>
      <c r="I123" s="181"/>
      <c r="J123" s="232"/>
      <c r="K123" s="233"/>
      <c r="L123" s="190"/>
      <c r="M123" s="190"/>
      <c r="N123" s="190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25">
      <c r="A124" s="51">
        <v>46062</v>
      </c>
      <c r="B124" s="294" t="s">
        <v>20</v>
      </c>
      <c r="C124" s="329"/>
      <c r="D124" s="330">
        <v>80665.14</v>
      </c>
      <c r="E124" s="176">
        <f t="shared" si="1"/>
        <v>3783759.2500000084</v>
      </c>
      <c r="F124" s="185"/>
      <c r="G124" s="185"/>
      <c r="H124" s="185"/>
      <c r="I124" s="183"/>
      <c r="J124" s="84"/>
      <c r="K124" s="246"/>
      <c r="L124" s="190"/>
      <c r="M124" s="190"/>
      <c r="N124" s="190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25">
      <c r="A125" s="51">
        <v>46062</v>
      </c>
      <c r="B125" s="294" t="s">
        <v>64</v>
      </c>
      <c r="C125" s="330">
        <v>645.32000000000005</v>
      </c>
      <c r="D125" s="329"/>
      <c r="E125" s="176">
        <f t="shared" si="1"/>
        <v>3783113.9300000085</v>
      </c>
      <c r="F125" s="207"/>
      <c r="G125" s="181"/>
      <c r="H125" s="205"/>
      <c r="I125" s="181"/>
      <c r="J125" s="185"/>
      <c r="K125" s="233"/>
      <c r="L125" s="190"/>
      <c r="M125" s="190"/>
      <c r="N125" s="190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25">
      <c r="A126" s="51">
        <v>46062</v>
      </c>
      <c r="B126" s="294" t="s">
        <v>65</v>
      </c>
      <c r="C126" s="330">
        <v>103.25</v>
      </c>
      <c r="D126" s="329"/>
      <c r="E126" s="176">
        <f t="shared" si="1"/>
        <v>3783010.6800000085</v>
      </c>
      <c r="F126" s="190"/>
      <c r="G126" s="181"/>
      <c r="H126" s="190"/>
      <c r="I126" s="190"/>
      <c r="J126" s="190"/>
      <c r="K126" s="182"/>
      <c r="L126" s="190"/>
      <c r="M126" s="190"/>
      <c r="N126" s="190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25">
      <c r="A127" s="51">
        <v>46062</v>
      </c>
      <c r="B127" s="294" t="s">
        <v>20</v>
      </c>
      <c r="C127" s="329"/>
      <c r="D127" s="330">
        <v>4370.17</v>
      </c>
      <c r="E127" s="176">
        <f t="shared" si="1"/>
        <v>3787380.8500000085</v>
      </c>
      <c r="F127" s="190"/>
      <c r="G127" s="181"/>
      <c r="H127" s="190"/>
      <c r="I127" s="190"/>
      <c r="J127" s="190"/>
      <c r="K127" s="182"/>
      <c r="L127" s="190"/>
      <c r="M127" s="190"/>
      <c r="N127" s="190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25">
      <c r="A128" s="51">
        <v>46062</v>
      </c>
      <c r="B128" s="294" t="s">
        <v>64</v>
      </c>
      <c r="C128" s="330">
        <v>34.96</v>
      </c>
      <c r="D128" s="329"/>
      <c r="E128" s="176">
        <f t="shared" si="1"/>
        <v>3787345.8900000085</v>
      </c>
      <c r="F128" s="190"/>
      <c r="G128" s="181"/>
      <c r="H128" s="190"/>
      <c r="I128" s="190"/>
      <c r="J128" s="190"/>
      <c r="K128" s="182"/>
      <c r="L128" s="190"/>
      <c r="M128" s="190"/>
      <c r="N128" s="190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25">
      <c r="A129" s="51">
        <v>46062</v>
      </c>
      <c r="B129" s="294" t="s">
        <v>65</v>
      </c>
      <c r="C129" s="330">
        <v>5.59</v>
      </c>
      <c r="D129" s="329"/>
      <c r="E129" s="176">
        <f t="shared" si="1"/>
        <v>3787340.3000000087</v>
      </c>
      <c r="F129" s="324"/>
      <c r="G129" s="181"/>
      <c r="H129" s="182"/>
      <c r="I129" s="190"/>
      <c r="J129" s="190"/>
      <c r="K129" s="182"/>
      <c r="L129" s="190"/>
      <c r="M129" s="190"/>
      <c r="N129" s="190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25">
      <c r="A130" s="51">
        <v>46062</v>
      </c>
      <c r="B130" s="294" t="s">
        <v>19</v>
      </c>
      <c r="C130" s="329"/>
      <c r="D130" s="330">
        <v>12023.16</v>
      </c>
      <c r="E130" s="176">
        <f t="shared" si="1"/>
        <v>3799363.4600000088</v>
      </c>
      <c r="F130" s="229"/>
      <c r="G130" s="247"/>
      <c r="H130" s="325"/>
      <c r="I130" s="183"/>
      <c r="J130" s="84"/>
      <c r="K130" s="248"/>
      <c r="L130" s="190"/>
      <c r="M130" s="190"/>
      <c r="N130" s="190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25">
      <c r="A131" s="51">
        <v>46062</v>
      </c>
      <c r="B131" s="294" t="s">
        <v>60</v>
      </c>
      <c r="C131" s="330">
        <v>96.2</v>
      </c>
      <c r="D131" s="329"/>
      <c r="E131" s="176">
        <f t="shared" si="1"/>
        <v>3799267.2600000086</v>
      </c>
      <c r="F131" s="185"/>
      <c r="G131" s="185"/>
      <c r="H131" s="185"/>
      <c r="I131" s="181"/>
      <c r="J131" s="49"/>
      <c r="K131" s="233"/>
      <c r="L131" s="190"/>
      <c r="M131" s="190"/>
      <c r="N131" s="190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25">
      <c r="A132" s="51">
        <v>46062</v>
      </c>
      <c r="B132" s="294" t="s">
        <v>61</v>
      </c>
      <c r="C132" s="330">
        <v>15.39</v>
      </c>
      <c r="D132" s="329"/>
      <c r="E132" s="176">
        <f t="shared" si="1"/>
        <v>3799251.8700000085</v>
      </c>
      <c r="F132" s="185"/>
      <c r="G132" s="185"/>
      <c r="H132" s="185"/>
      <c r="I132" s="181"/>
      <c r="J132" s="206"/>
      <c r="K132" s="182"/>
      <c r="L132" s="190"/>
      <c r="M132" s="190"/>
      <c r="N132" s="190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25">
      <c r="A133" s="51">
        <v>46062</v>
      </c>
      <c r="B133" s="294" t="s">
        <v>19</v>
      </c>
      <c r="C133" s="329"/>
      <c r="D133" s="330">
        <v>2117.31</v>
      </c>
      <c r="E133" s="176">
        <f t="shared" si="1"/>
        <v>3801369.1800000085</v>
      </c>
      <c r="F133" s="185"/>
      <c r="G133" s="185"/>
      <c r="H133" s="185"/>
      <c r="I133" s="190"/>
      <c r="J133" s="190"/>
      <c r="K133" s="182"/>
      <c r="L133" s="190"/>
      <c r="M133" s="190"/>
      <c r="N133" s="190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25">
      <c r="A134" s="51">
        <v>46062</v>
      </c>
      <c r="B134" s="294" t="s">
        <v>68</v>
      </c>
      <c r="C134" s="330">
        <v>62.46</v>
      </c>
      <c r="D134" s="329"/>
      <c r="E134" s="176">
        <f t="shared" si="1"/>
        <v>3801306.7200000086</v>
      </c>
      <c r="F134" s="237"/>
      <c r="G134" s="181"/>
      <c r="H134" s="182"/>
      <c r="I134" s="190"/>
      <c r="J134" s="190"/>
      <c r="K134" s="182"/>
      <c r="L134" s="190"/>
      <c r="M134" s="190"/>
      <c r="N134" s="190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25">
      <c r="A135" s="51">
        <v>46062</v>
      </c>
      <c r="B135" s="294" t="s">
        <v>69</v>
      </c>
      <c r="C135" s="330">
        <v>9.99</v>
      </c>
      <c r="D135" s="329"/>
      <c r="E135" s="176">
        <f t="shared" si="1"/>
        <v>3801296.7300000084</v>
      </c>
      <c r="F135" s="229"/>
      <c r="G135" s="239"/>
      <c r="H135" s="243"/>
      <c r="I135" s="190"/>
      <c r="J135" s="190"/>
      <c r="K135" s="182"/>
      <c r="L135" s="190"/>
      <c r="M135" s="190"/>
      <c r="N135" s="190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25">
      <c r="A136" s="51">
        <v>46062</v>
      </c>
      <c r="B136" s="294" t="s">
        <v>19</v>
      </c>
      <c r="C136" s="329"/>
      <c r="D136" s="330">
        <v>282238.03999999998</v>
      </c>
      <c r="E136" s="176">
        <f t="shared" ref="E136:E199" si="2">E135-C136+D136</f>
        <v>4083534.7700000084</v>
      </c>
      <c r="F136" s="80"/>
      <c r="G136" s="75"/>
      <c r="H136" s="182"/>
      <c r="I136" s="190"/>
      <c r="J136" s="190"/>
      <c r="K136" s="182"/>
      <c r="L136" s="190"/>
      <c r="M136" s="190"/>
      <c r="N136" s="190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25">
      <c r="A137" s="51">
        <v>46062</v>
      </c>
      <c r="B137" s="294" t="s">
        <v>60</v>
      </c>
      <c r="C137" s="330">
        <v>2257.9499999999998</v>
      </c>
      <c r="D137" s="329"/>
      <c r="E137" s="176">
        <f t="shared" si="2"/>
        <v>4081276.8200000082</v>
      </c>
      <c r="F137" s="229"/>
      <c r="G137" s="239"/>
      <c r="H137" s="196"/>
      <c r="I137" s="190"/>
      <c r="J137" s="190"/>
      <c r="K137" s="182"/>
      <c r="L137" s="190"/>
      <c r="M137" s="190"/>
      <c r="N137" s="190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25">
      <c r="A138" s="51">
        <v>46062</v>
      </c>
      <c r="B138" s="294" t="s">
        <v>61</v>
      </c>
      <c r="C138" s="330">
        <v>361.27</v>
      </c>
      <c r="D138" s="329"/>
      <c r="E138" s="176">
        <f t="shared" si="2"/>
        <v>4080915.5500000082</v>
      </c>
      <c r="F138" s="185"/>
      <c r="G138" s="185"/>
      <c r="H138" s="185"/>
      <c r="I138" s="190"/>
      <c r="J138" s="190"/>
      <c r="K138" s="182"/>
      <c r="L138" s="190"/>
      <c r="M138" s="190"/>
      <c r="N138" s="190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25">
      <c r="A139" s="51">
        <v>46062</v>
      </c>
      <c r="B139" s="294" t="s">
        <v>20</v>
      </c>
      <c r="C139" s="329"/>
      <c r="D139" s="330">
        <v>108590.42</v>
      </c>
      <c r="E139" s="176">
        <f t="shared" si="2"/>
        <v>4189505.9700000081</v>
      </c>
      <c r="F139" s="185"/>
      <c r="G139" s="185"/>
      <c r="H139" s="185"/>
      <c r="I139" s="190"/>
      <c r="J139" s="190"/>
      <c r="K139" s="182"/>
      <c r="L139" s="190"/>
      <c r="M139" s="190"/>
      <c r="N139" s="190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25">
      <c r="A140" s="51">
        <v>46062</v>
      </c>
      <c r="B140" s="294" t="s">
        <v>64</v>
      </c>
      <c r="C140" s="330">
        <v>868.74</v>
      </c>
      <c r="D140" s="329"/>
      <c r="E140" s="176">
        <f t="shared" si="2"/>
        <v>4188637.2300000079</v>
      </c>
      <c r="F140" s="185"/>
      <c r="G140" s="185"/>
      <c r="H140" s="185"/>
      <c r="I140" s="190"/>
      <c r="J140" s="190"/>
      <c r="K140" s="182"/>
      <c r="L140" s="190"/>
      <c r="M140" s="190"/>
      <c r="N140" s="190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25">
      <c r="A141" s="51">
        <v>46062</v>
      </c>
      <c r="B141" s="294" t="s">
        <v>65</v>
      </c>
      <c r="C141" s="330">
        <v>139</v>
      </c>
      <c r="D141" s="329"/>
      <c r="E141" s="176">
        <f t="shared" si="2"/>
        <v>4188498.2300000079</v>
      </c>
      <c r="F141" s="196"/>
      <c r="G141" s="236"/>
      <c r="H141" s="190"/>
      <c r="I141" s="190"/>
      <c r="J141" s="190"/>
      <c r="K141" s="182"/>
      <c r="L141" s="190"/>
      <c r="M141" s="190"/>
      <c r="N141" s="190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25">
      <c r="A142" s="51">
        <v>46062</v>
      </c>
      <c r="B142" s="295" t="s">
        <v>20</v>
      </c>
      <c r="C142" s="329"/>
      <c r="D142" s="330">
        <v>34400</v>
      </c>
      <c r="E142" s="176">
        <f t="shared" si="2"/>
        <v>4222898.2300000079</v>
      </c>
      <c r="F142" s="180"/>
      <c r="G142" s="181"/>
      <c r="H142" s="182"/>
      <c r="I142" s="190"/>
      <c r="J142" s="190"/>
      <c r="K142" s="182"/>
      <c r="L142" s="190"/>
      <c r="M142" s="190"/>
      <c r="N142" s="190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25">
      <c r="A143" s="51">
        <v>46062</v>
      </c>
      <c r="B143" s="295" t="s">
        <v>64</v>
      </c>
      <c r="C143" s="330">
        <v>275.2</v>
      </c>
      <c r="D143" s="329"/>
      <c r="E143" s="176">
        <f t="shared" si="2"/>
        <v>4222623.0300000077</v>
      </c>
      <c r="F143" s="229"/>
      <c r="G143" s="247"/>
      <c r="H143" s="184"/>
      <c r="I143" s="190"/>
      <c r="J143" s="190"/>
      <c r="K143" s="182"/>
      <c r="L143" s="190"/>
      <c r="M143" s="190"/>
      <c r="N143" s="190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25">
      <c r="A144" s="51">
        <v>46062</v>
      </c>
      <c r="B144" s="295" t="s">
        <v>65</v>
      </c>
      <c r="C144" s="330">
        <v>44.03</v>
      </c>
      <c r="D144" s="329"/>
      <c r="E144" s="176">
        <f t="shared" si="2"/>
        <v>4222579.0000000075</v>
      </c>
      <c r="F144" s="324"/>
      <c r="G144" s="181"/>
      <c r="H144" s="182"/>
      <c r="I144" s="190"/>
      <c r="J144" s="190"/>
      <c r="K144" s="182"/>
      <c r="L144" s="190"/>
      <c r="M144" s="190"/>
      <c r="N144" s="190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25">
      <c r="A145" s="51">
        <v>46062</v>
      </c>
      <c r="B145" s="295" t="s">
        <v>19</v>
      </c>
      <c r="C145" s="329"/>
      <c r="D145" s="330">
        <v>11013.13</v>
      </c>
      <c r="E145" s="176">
        <f t="shared" si="2"/>
        <v>4233592.1300000073</v>
      </c>
      <c r="F145" s="229"/>
      <c r="G145" s="247"/>
      <c r="H145" s="325"/>
      <c r="I145" s="183"/>
      <c r="J145" s="84"/>
      <c r="K145" s="248"/>
      <c r="L145" s="190"/>
      <c r="M145" s="190"/>
      <c r="N145" s="190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25">
      <c r="A146" s="51">
        <v>46062</v>
      </c>
      <c r="B146" s="295" t="s">
        <v>60</v>
      </c>
      <c r="C146" s="330">
        <v>88.11</v>
      </c>
      <c r="D146" s="329"/>
      <c r="E146" s="176">
        <f t="shared" si="2"/>
        <v>4233504.020000007</v>
      </c>
      <c r="F146" s="185"/>
      <c r="G146" s="185"/>
      <c r="H146" s="185"/>
      <c r="I146" s="181"/>
      <c r="J146" s="49"/>
      <c r="K146" s="233"/>
      <c r="L146" s="190"/>
      <c r="M146" s="190"/>
      <c r="N146" s="190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25">
      <c r="A147" s="51">
        <v>46062</v>
      </c>
      <c r="B147" s="295" t="s">
        <v>61</v>
      </c>
      <c r="C147" s="330">
        <v>14.1</v>
      </c>
      <c r="D147" s="329"/>
      <c r="E147" s="176">
        <f t="shared" si="2"/>
        <v>4233489.9200000074</v>
      </c>
      <c r="F147" s="185"/>
      <c r="G147" s="185"/>
      <c r="H147" s="185"/>
      <c r="I147" s="190"/>
      <c r="J147" s="190"/>
      <c r="K147" s="182"/>
      <c r="L147" s="190"/>
      <c r="M147" s="190"/>
      <c r="N147" s="190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25">
      <c r="A148" s="51">
        <v>46062</v>
      </c>
      <c r="B148" s="295" t="s">
        <v>19</v>
      </c>
      <c r="C148" s="329"/>
      <c r="D148" s="330">
        <v>44486.87</v>
      </c>
      <c r="E148" s="176">
        <f t="shared" si="2"/>
        <v>4277976.7900000075</v>
      </c>
      <c r="F148" s="185"/>
      <c r="G148" s="185"/>
      <c r="H148" s="185"/>
      <c r="I148" s="190"/>
      <c r="J148" s="190"/>
      <c r="K148" s="182"/>
      <c r="L148" s="190"/>
      <c r="M148" s="190"/>
      <c r="N148" s="190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25">
      <c r="A149" s="175">
        <v>46062</v>
      </c>
      <c r="B149" s="170" t="s">
        <v>60</v>
      </c>
      <c r="C149" s="330">
        <v>355.89</v>
      </c>
      <c r="D149" s="329"/>
      <c r="E149" s="176">
        <f t="shared" si="2"/>
        <v>4277620.9000000078</v>
      </c>
      <c r="F149" s="237"/>
      <c r="G149" s="181"/>
      <c r="H149" s="182"/>
      <c r="I149" s="190"/>
      <c r="J149" s="190"/>
      <c r="K149" s="182"/>
      <c r="L149" s="190"/>
      <c r="M149" s="190"/>
      <c r="N149" s="190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25">
      <c r="A150" s="175">
        <v>46062</v>
      </c>
      <c r="B150" s="170" t="s">
        <v>61</v>
      </c>
      <c r="C150" s="330">
        <v>56.94</v>
      </c>
      <c r="D150" s="329"/>
      <c r="E150" s="176">
        <f t="shared" si="2"/>
        <v>4277563.9600000074</v>
      </c>
      <c r="F150" s="204"/>
      <c r="G150" s="181"/>
      <c r="H150" s="205"/>
      <c r="I150" s="181"/>
      <c r="J150" s="206"/>
      <c r="K150" s="182"/>
      <c r="L150" s="190"/>
      <c r="M150" s="190"/>
      <c r="N150" s="190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25">
      <c r="A151" s="175">
        <v>46063</v>
      </c>
      <c r="B151" s="170" t="s">
        <v>20</v>
      </c>
      <c r="C151" s="329"/>
      <c r="D151" s="330">
        <v>22.6</v>
      </c>
      <c r="E151" s="176">
        <f t="shared" si="2"/>
        <v>4277586.560000007</v>
      </c>
      <c r="F151" s="229"/>
      <c r="G151" s="239"/>
      <c r="H151" s="196"/>
      <c r="I151" s="190"/>
      <c r="J151" s="190"/>
      <c r="K151" s="182"/>
      <c r="L151" s="190"/>
      <c r="M151" s="190"/>
      <c r="N151" s="190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25">
      <c r="A152" s="175">
        <v>46063</v>
      </c>
      <c r="B152" s="170" t="s">
        <v>64</v>
      </c>
      <c r="C152" s="330">
        <v>0.18</v>
      </c>
      <c r="D152" s="329"/>
      <c r="E152" s="176">
        <f t="shared" si="2"/>
        <v>4277586.3800000073</v>
      </c>
      <c r="F152" s="185"/>
      <c r="G152" s="185"/>
      <c r="H152" s="185"/>
      <c r="I152" s="190"/>
      <c r="J152" s="190"/>
      <c r="K152" s="182"/>
      <c r="L152" s="190"/>
      <c r="M152" s="190"/>
      <c r="N152" s="190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25">
      <c r="A153" s="175">
        <v>46063</v>
      </c>
      <c r="B153" s="170" t="s">
        <v>65</v>
      </c>
      <c r="C153" s="330">
        <v>0.03</v>
      </c>
      <c r="D153" s="329"/>
      <c r="E153" s="176">
        <f t="shared" si="2"/>
        <v>4277586.3500000071</v>
      </c>
      <c r="F153" s="185"/>
      <c r="G153" s="185"/>
      <c r="H153" s="185"/>
      <c r="I153" s="190"/>
      <c r="J153" s="190"/>
      <c r="K153" s="182"/>
      <c r="L153" s="190"/>
      <c r="M153" s="190"/>
      <c r="N153" s="190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25">
      <c r="A154" s="175">
        <v>46063</v>
      </c>
      <c r="B154" s="170" t="s">
        <v>19</v>
      </c>
      <c r="C154" s="329"/>
      <c r="D154" s="330">
        <v>6786.75</v>
      </c>
      <c r="E154" s="176">
        <f t="shared" si="2"/>
        <v>4284373.1000000071</v>
      </c>
      <c r="F154" s="227"/>
      <c r="G154" s="181"/>
      <c r="H154" s="182"/>
      <c r="I154" s="190"/>
      <c r="J154" s="190"/>
      <c r="K154" s="182"/>
      <c r="L154" s="190"/>
      <c r="M154" s="190"/>
      <c r="N154" s="190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25">
      <c r="A155" s="175">
        <v>46063</v>
      </c>
      <c r="B155" s="170" t="s">
        <v>60</v>
      </c>
      <c r="C155" s="330">
        <v>54.28</v>
      </c>
      <c r="D155" s="329"/>
      <c r="E155" s="176">
        <f t="shared" si="2"/>
        <v>4284318.8200000068</v>
      </c>
      <c r="F155" s="80"/>
      <c r="G155" s="253"/>
      <c r="H155" s="185"/>
      <c r="I155" s="190"/>
      <c r="J155" s="190"/>
      <c r="K155" s="182"/>
      <c r="L155" s="190"/>
      <c r="M155" s="190"/>
      <c r="N155" s="190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25">
      <c r="A156" s="175">
        <v>46063</v>
      </c>
      <c r="B156" s="170" t="s">
        <v>61</v>
      </c>
      <c r="C156" s="330">
        <v>8.68</v>
      </c>
      <c r="D156" s="329"/>
      <c r="E156" s="176">
        <f t="shared" si="2"/>
        <v>4284310.1400000071</v>
      </c>
      <c r="F156" s="324"/>
      <c r="G156" s="181"/>
      <c r="H156" s="182"/>
      <c r="I156" s="190"/>
      <c r="J156" s="190"/>
      <c r="K156" s="182"/>
      <c r="L156" s="190"/>
      <c r="M156" s="190"/>
      <c r="N156" s="190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25">
      <c r="A157" s="175">
        <v>46063</v>
      </c>
      <c r="B157" s="170" t="s">
        <v>19</v>
      </c>
      <c r="C157" s="329"/>
      <c r="D157" s="330">
        <v>666.12</v>
      </c>
      <c r="E157" s="176">
        <f t="shared" si="2"/>
        <v>4284976.2600000072</v>
      </c>
      <c r="F157" s="229"/>
      <c r="G157" s="247"/>
      <c r="H157" s="325"/>
      <c r="I157" s="190"/>
      <c r="J157" s="190"/>
      <c r="K157" s="182"/>
      <c r="L157" s="190"/>
      <c r="M157" s="190"/>
      <c r="N157" s="190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25">
      <c r="A158" s="175">
        <v>46063</v>
      </c>
      <c r="B158" s="170" t="s">
        <v>68</v>
      </c>
      <c r="C158" s="330">
        <v>19.649999999999999</v>
      </c>
      <c r="D158" s="329"/>
      <c r="E158" s="176">
        <f t="shared" si="2"/>
        <v>4284956.6100000069</v>
      </c>
      <c r="F158" s="185"/>
      <c r="G158" s="185"/>
      <c r="H158" s="185"/>
      <c r="I158" s="190"/>
      <c r="J158" s="190"/>
      <c r="K158" s="182"/>
      <c r="L158" s="190"/>
      <c r="M158" s="190"/>
      <c r="N158" s="190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25">
      <c r="A159" s="175">
        <v>46063</v>
      </c>
      <c r="B159" s="170" t="s">
        <v>69</v>
      </c>
      <c r="C159" s="330">
        <v>3.14</v>
      </c>
      <c r="D159" s="329"/>
      <c r="E159" s="176">
        <f t="shared" si="2"/>
        <v>4284953.4700000072</v>
      </c>
      <c r="F159" s="185"/>
      <c r="G159" s="185"/>
      <c r="H159" s="185"/>
      <c r="I159" s="190"/>
      <c r="J159" s="190"/>
      <c r="K159" s="182"/>
      <c r="L159" s="190"/>
      <c r="M159" s="190"/>
      <c r="N159" s="190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25">
      <c r="A160" s="175">
        <v>46063</v>
      </c>
      <c r="B160" s="170" t="s">
        <v>20</v>
      </c>
      <c r="C160" s="329"/>
      <c r="D160" s="330">
        <v>57269.96</v>
      </c>
      <c r="E160" s="176">
        <f t="shared" si="2"/>
        <v>4342223.4300000072</v>
      </c>
      <c r="F160" s="185"/>
      <c r="G160" s="185"/>
      <c r="H160" s="185"/>
      <c r="I160" s="183"/>
      <c r="J160" s="84"/>
      <c r="K160" s="248"/>
      <c r="L160" s="190"/>
      <c r="M160" s="190"/>
      <c r="N160" s="190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25">
      <c r="A161" s="175">
        <v>46063</v>
      </c>
      <c r="B161" s="170" t="s">
        <v>64</v>
      </c>
      <c r="C161" s="330">
        <v>458.16</v>
      </c>
      <c r="D161" s="329"/>
      <c r="E161" s="176">
        <f t="shared" si="2"/>
        <v>4341765.270000007</v>
      </c>
      <c r="F161" s="185"/>
      <c r="G161" s="185"/>
      <c r="H161" s="185"/>
      <c r="I161" s="181"/>
      <c r="J161" s="49"/>
      <c r="K161" s="233"/>
      <c r="L161" s="190"/>
      <c r="M161" s="190"/>
      <c r="N161" s="190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25">
      <c r="A162" s="175">
        <v>46063</v>
      </c>
      <c r="B162" s="170" t="s">
        <v>65</v>
      </c>
      <c r="C162" s="330">
        <v>73.31</v>
      </c>
      <c r="D162" s="329"/>
      <c r="E162" s="176">
        <f t="shared" si="2"/>
        <v>4341691.9600000074</v>
      </c>
      <c r="F162" s="185"/>
      <c r="G162" s="185"/>
      <c r="H162" s="185"/>
      <c r="I162" s="190"/>
      <c r="J162" s="190"/>
      <c r="K162" s="182"/>
      <c r="L162" s="190"/>
      <c r="M162" s="190"/>
      <c r="N162" s="190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25">
      <c r="A163" s="175">
        <v>46063</v>
      </c>
      <c r="B163" s="170" t="s">
        <v>19</v>
      </c>
      <c r="C163" s="329"/>
      <c r="D163" s="330">
        <v>151003.76999999999</v>
      </c>
      <c r="E163" s="176">
        <f t="shared" si="2"/>
        <v>4492695.730000007</v>
      </c>
      <c r="F163" s="229"/>
      <c r="G163" s="239"/>
      <c r="H163" s="196"/>
      <c r="I163" s="181"/>
      <c r="J163" s="70"/>
      <c r="K163" s="233"/>
      <c r="L163" s="190"/>
      <c r="M163" s="190"/>
      <c r="N163" s="190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25">
      <c r="A164" s="175">
        <v>46063</v>
      </c>
      <c r="B164" s="170" t="s">
        <v>60</v>
      </c>
      <c r="C164" s="330">
        <v>1208.01</v>
      </c>
      <c r="D164" s="329"/>
      <c r="E164" s="176">
        <f t="shared" si="2"/>
        <v>4491487.7200000072</v>
      </c>
      <c r="F164" s="237"/>
      <c r="G164" s="181"/>
      <c r="H164" s="182"/>
      <c r="I164" s="190"/>
      <c r="J164" s="190"/>
      <c r="K164" s="182"/>
      <c r="L164" s="190"/>
      <c r="M164" s="190"/>
      <c r="N164" s="190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25">
      <c r="A165" s="175">
        <v>46063</v>
      </c>
      <c r="B165" s="170" t="s">
        <v>61</v>
      </c>
      <c r="C165" s="330">
        <v>193.28</v>
      </c>
      <c r="D165" s="329"/>
      <c r="E165" s="176">
        <f t="shared" si="2"/>
        <v>4491294.4400000069</v>
      </c>
      <c r="F165" s="204"/>
      <c r="G165" s="181"/>
      <c r="H165" s="205"/>
      <c r="I165" s="181"/>
      <c r="J165" s="206"/>
      <c r="K165" s="182"/>
      <c r="L165" s="190"/>
      <c r="M165" s="190"/>
      <c r="N165" s="190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25">
      <c r="A166" s="175">
        <v>46063</v>
      </c>
      <c r="B166" s="170" t="s">
        <v>118</v>
      </c>
      <c r="C166" s="330">
        <v>1700000</v>
      </c>
      <c r="D166" s="329"/>
      <c r="E166" s="176">
        <f t="shared" si="2"/>
        <v>2791294.4400000069</v>
      </c>
      <c r="F166" s="180"/>
      <c r="G166" s="181"/>
      <c r="H166" s="182"/>
      <c r="I166" s="190"/>
      <c r="J166" s="190"/>
      <c r="K166" s="182"/>
      <c r="L166" s="190"/>
      <c r="M166" s="190"/>
      <c r="N166" s="190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25">
      <c r="A167" s="175">
        <v>46064</v>
      </c>
      <c r="B167" s="170" t="s">
        <v>20</v>
      </c>
      <c r="C167" s="329"/>
      <c r="D167" s="330">
        <v>59.96</v>
      </c>
      <c r="E167" s="176">
        <f t="shared" si="2"/>
        <v>2791354.4000000069</v>
      </c>
      <c r="F167" s="229"/>
      <c r="G167" s="247"/>
      <c r="H167" s="184"/>
      <c r="I167" s="190"/>
      <c r="J167" s="190"/>
      <c r="K167" s="182"/>
      <c r="L167" s="190"/>
      <c r="M167" s="190"/>
      <c r="N167" s="190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25">
      <c r="A168" s="175">
        <v>46064</v>
      </c>
      <c r="B168" s="170" t="s">
        <v>64</v>
      </c>
      <c r="C168" s="330">
        <v>0.48</v>
      </c>
      <c r="D168" s="329"/>
      <c r="E168" s="176">
        <f t="shared" si="2"/>
        <v>2791353.9200000069</v>
      </c>
      <c r="F168" s="211"/>
      <c r="G168" s="83"/>
      <c r="H168" s="212"/>
      <c r="I168" s="183"/>
      <c r="J168" s="84"/>
      <c r="K168" s="248"/>
      <c r="L168" s="190"/>
      <c r="M168" s="190"/>
      <c r="N168" s="190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25">
      <c r="A169" s="175">
        <v>46064</v>
      </c>
      <c r="B169" s="170" t="s">
        <v>65</v>
      </c>
      <c r="C169" s="330">
        <v>0.08</v>
      </c>
      <c r="D169" s="329"/>
      <c r="E169" s="176">
        <f t="shared" si="2"/>
        <v>2791353.8400000068</v>
      </c>
      <c r="F169" s="229"/>
      <c r="G169" s="239"/>
      <c r="H169" s="196"/>
      <c r="I169" s="190"/>
      <c r="J169" s="190"/>
      <c r="K169" s="182"/>
      <c r="L169" s="190"/>
      <c r="M169" s="190"/>
      <c r="N169" s="190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25">
      <c r="A170" s="175">
        <v>46064</v>
      </c>
      <c r="B170" s="170" t="s">
        <v>19</v>
      </c>
      <c r="C170" s="329"/>
      <c r="D170" s="330">
        <v>7232.86</v>
      </c>
      <c r="E170" s="176">
        <f t="shared" si="2"/>
        <v>2798586.7000000067</v>
      </c>
      <c r="F170" s="211"/>
      <c r="G170" s="83"/>
      <c r="H170" s="245"/>
      <c r="I170" s="183"/>
      <c r="J170" s="84"/>
      <c r="K170" s="246"/>
      <c r="L170" s="190"/>
      <c r="M170" s="190"/>
      <c r="N170" s="190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25">
      <c r="A171" s="175">
        <v>46064</v>
      </c>
      <c r="B171" s="170" t="s">
        <v>60</v>
      </c>
      <c r="C171" s="330">
        <v>57.86</v>
      </c>
      <c r="D171" s="329"/>
      <c r="E171" s="176">
        <f t="shared" si="2"/>
        <v>2798528.8400000068</v>
      </c>
      <c r="F171" s="234"/>
      <c r="G171" s="252"/>
      <c r="H171" s="190"/>
      <c r="I171" s="190"/>
      <c r="J171" s="190"/>
      <c r="K171" s="182"/>
      <c r="L171" s="190"/>
      <c r="M171" s="190"/>
      <c r="N171" s="190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25">
      <c r="A172" s="175">
        <v>46064</v>
      </c>
      <c r="B172" s="170" t="s">
        <v>61</v>
      </c>
      <c r="C172" s="330">
        <v>9.26</v>
      </c>
      <c r="D172" s="329"/>
      <c r="E172" s="176">
        <f t="shared" si="2"/>
        <v>2798519.5800000071</v>
      </c>
      <c r="F172" s="324"/>
      <c r="G172" s="181"/>
      <c r="H172" s="182"/>
      <c r="I172" s="190"/>
      <c r="J172" s="190"/>
      <c r="K172" s="182"/>
      <c r="L172" s="190"/>
      <c r="M172" s="190"/>
      <c r="N172" s="190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25">
      <c r="A173" s="175">
        <v>46064</v>
      </c>
      <c r="B173" s="170" t="s">
        <v>19</v>
      </c>
      <c r="C173" s="329"/>
      <c r="D173" s="330">
        <v>156822.51</v>
      </c>
      <c r="E173" s="176">
        <f t="shared" si="2"/>
        <v>2955342.0900000073</v>
      </c>
      <c r="F173" s="229"/>
      <c r="G173" s="247"/>
      <c r="H173" s="325"/>
      <c r="I173" s="190"/>
      <c r="J173" s="190"/>
      <c r="K173" s="182"/>
      <c r="L173" s="190"/>
      <c r="M173" s="190"/>
      <c r="N173" s="190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25">
      <c r="A174" s="175">
        <v>46064</v>
      </c>
      <c r="B174" s="170" t="s">
        <v>60</v>
      </c>
      <c r="C174" s="330">
        <v>1254.49</v>
      </c>
      <c r="D174" s="329"/>
      <c r="E174" s="176">
        <f t="shared" si="2"/>
        <v>2954087.6000000071</v>
      </c>
      <c r="F174" s="244"/>
      <c r="G174" s="181"/>
      <c r="H174" s="182"/>
      <c r="I174" s="190"/>
      <c r="J174" s="190"/>
      <c r="K174" s="182"/>
      <c r="L174" s="190"/>
      <c r="M174" s="190"/>
      <c r="N174" s="190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25">
      <c r="A175" s="175">
        <v>46064</v>
      </c>
      <c r="B175" s="170" t="s">
        <v>61</v>
      </c>
      <c r="C175" s="330">
        <v>200.72</v>
      </c>
      <c r="D175" s="329"/>
      <c r="E175" s="176">
        <f t="shared" si="2"/>
        <v>2953886.8800000069</v>
      </c>
      <c r="F175" s="229"/>
      <c r="G175" s="239"/>
      <c r="H175" s="196"/>
      <c r="I175" s="181"/>
      <c r="J175" s="70"/>
      <c r="K175" s="233"/>
      <c r="L175" s="190"/>
      <c r="M175" s="190"/>
      <c r="N175" s="190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25">
      <c r="A176" s="175">
        <v>46064</v>
      </c>
      <c r="B176" s="170" t="s">
        <v>20</v>
      </c>
      <c r="C176" s="329"/>
      <c r="D176" s="330">
        <v>61141.22</v>
      </c>
      <c r="E176" s="176">
        <f t="shared" si="2"/>
        <v>3015028.1000000071</v>
      </c>
      <c r="F176" s="190"/>
      <c r="G176" s="181"/>
      <c r="H176" s="190"/>
      <c r="I176" s="190"/>
      <c r="J176" s="190"/>
      <c r="K176" s="182"/>
      <c r="L176" s="190"/>
      <c r="M176" s="190"/>
      <c r="N176" s="190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25">
      <c r="A177" s="175">
        <v>46064</v>
      </c>
      <c r="B177" s="170" t="s">
        <v>64</v>
      </c>
      <c r="C177" s="330">
        <v>489.08</v>
      </c>
      <c r="D177" s="329"/>
      <c r="E177" s="176">
        <f t="shared" si="2"/>
        <v>3014539.020000007</v>
      </c>
      <c r="F177" s="185"/>
      <c r="G177" s="185"/>
      <c r="H177" s="185"/>
      <c r="I177" s="190"/>
      <c r="J177" s="190"/>
      <c r="K177" s="182"/>
      <c r="L177" s="190"/>
      <c r="M177" s="190"/>
      <c r="N177" s="190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25">
      <c r="A178" s="175">
        <v>46064</v>
      </c>
      <c r="B178" s="170" t="s">
        <v>65</v>
      </c>
      <c r="C178" s="330">
        <v>78.25</v>
      </c>
      <c r="D178" s="329"/>
      <c r="E178" s="176">
        <f t="shared" si="2"/>
        <v>3014460.770000007</v>
      </c>
      <c r="F178" s="185"/>
      <c r="G178" s="185"/>
      <c r="H178" s="185"/>
      <c r="I178" s="190"/>
      <c r="J178" s="190"/>
      <c r="K178" s="182"/>
      <c r="L178" s="190"/>
      <c r="M178" s="190"/>
      <c r="N178" s="190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25">
      <c r="A179" s="175">
        <v>46064</v>
      </c>
      <c r="B179" s="170" t="s">
        <v>19</v>
      </c>
      <c r="C179" s="329"/>
      <c r="D179" s="330">
        <v>12960</v>
      </c>
      <c r="E179" s="176">
        <f t="shared" si="2"/>
        <v>3027420.770000007</v>
      </c>
      <c r="F179" s="80"/>
      <c r="G179" s="75"/>
      <c r="H179" s="182"/>
      <c r="I179" s="185"/>
      <c r="J179" s="185"/>
      <c r="K179" s="185"/>
      <c r="L179" s="185"/>
      <c r="M179" s="190"/>
      <c r="N179" s="190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25">
      <c r="A180" s="175">
        <v>46064</v>
      </c>
      <c r="B180" s="170" t="s">
        <v>60</v>
      </c>
      <c r="C180" s="330">
        <v>103.68</v>
      </c>
      <c r="D180" s="329"/>
      <c r="E180" s="176">
        <f t="shared" si="2"/>
        <v>3027317.0900000068</v>
      </c>
      <c r="F180" s="229"/>
      <c r="G180" s="239"/>
      <c r="H180" s="243"/>
      <c r="I180" s="190"/>
      <c r="J180" s="190"/>
      <c r="K180" s="182"/>
      <c r="L180" s="190"/>
      <c r="M180" s="190"/>
      <c r="N180" s="190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25">
      <c r="A181" s="175">
        <v>46064</v>
      </c>
      <c r="B181" s="170" t="s">
        <v>61</v>
      </c>
      <c r="C181" s="330">
        <v>16.59</v>
      </c>
      <c r="D181" s="329"/>
      <c r="E181" s="176">
        <f t="shared" si="2"/>
        <v>3027300.500000007</v>
      </c>
      <c r="F181" s="263"/>
      <c r="G181" s="84"/>
      <c r="H181" s="190"/>
      <c r="I181" s="190"/>
      <c r="J181" s="190"/>
      <c r="K181" s="182"/>
      <c r="L181" s="190"/>
      <c r="M181" s="190"/>
      <c r="N181" s="190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25">
      <c r="A182" s="175">
        <v>46064</v>
      </c>
      <c r="B182" s="170" t="s">
        <v>19</v>
      </c>
      <c r="C182" s="329"/>
      <c r="D182" s="330">
        <v>8612.15</v>
      </c>
      <c r="E182" s="176">
        <f t="shared" si="2"/>
        <v>3035912.6500000069</v>
      </c>
      <c r="F182" s="81"/>
      <c r="G182" s="326"/>
      <c r="H182" s="327"/>
      <c r="I182" s="190"/>
      <c r="J182" s="190"/>
      <c r="K182" s="182"/>
      <c r="L182" s="190"/>
      <c r="M182" s="190"/>
      <c r="N182" s="190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25">
      <c r="A183" s="175">
        <v>46064</v>
      </c>
      <c r="B183" s="170" t="s">
        <v>60</v>
      </c>
      <c r="C183" s="330">
        <v>68.900000000000006</v>
      </c>
      <c r="D183" s="329"/>
      <c r="E183" s="176">
        <f t="shared" si="2"/>
        <v>3035843.750000007</v>
      </c>
      <c r="F183" s="264"/>
      <c r="G183" s="251"/>
      <c r="H183" s="185"/>
      <c r="I183" s="185"/>
      <c r="J183" s="185"/>
      <c r="K183" s="185"/>
      <c r="L183" s="185"/>
      <c r="M183" s="185"/>
      <c r="N183" s="190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25">
      <c r="A184" s="175">
        <v>46064</v>
      </c>
      <c r="B184" s="170" t="s">
        <v>61</v>
      </c>
      <c r="C184" s="330">
        <v>11.02</v>
      </c>
      <c r="D184" s="329"/>
      <c r="E184" s="176">
        <f t="shared" si="2"/>
        <v>3035832.730000007</v>
      </c>
      <c r="F184" s="211"/>
      <c r="G184" s="83"/>
      <c r="H184" s="212"/>
      <c r="I184" s="183"/>
      <c r="J184" s="84"/>
      <c r="K184" s="248"/>
      <c r="L184" s="190"/>
      <c r="M184" s="190"/>
      <c r="N184" s="190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25">
      <c r="A185" s="175">
        <v>46064</v>
      </c>
      <c r="B185" s="170" t="s">
        <v>266</v>
      </c>
      <c r="C185" s="330">
        <v>400</v>
      </c>
      <c r="D185" s="329"/>
      <c r="E185" s="176">
        <f t="shared" si="2"/>
        <v>3035432.730000007</v>
      </c>
      <c r="F185" s="204"/>
      <c r="G185" s="181"/>
      <c r="H185" s="205"/>
      <c r="I185" s="181"/>
      <c r="J185" s="206"/>
      <c r="K185" s="182"/>
      <c r="L185" s="190"/>
      <c r="M185" s="190"/>
      <c r="N185" s="190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25">
      <c r="A186" s="175">
        <v>46065</v>
      </c>
      <c r="B186" s="170" t="s">
        <v>19</v>
      </c>
      <c r="C186" s="329"/>
      <c r="D186" s="330">
        <v>5007.95</v>
      </c>
      <c r="E186" s="176">
        <f t="shared" si="2"/>
        <v>3040440.6800000072</v>
      </c>
      <c r="F186" s="185"/>
      <c r="G186" s="227"/>
      <c r="H186" s="181"/>
      <c r="I186" s="182"/>
      <c r="J186" s="190"/>
      <c r="K186" s="182"/>
      <c r="L186" s="190"/>
      <c r="M186" s="190"/>
      <c r="N186" s="190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25">
      <c r="A187" s="175">
        <v>46065</v>
      </c>
      <c r="B187" s="170" t="s">
        <v>60</v>
      </c>
      <c r="C187" s="330">
        <v>40.08</v>
      </c>
      <c r="D187" s="329"/>
      <c r="E187" s="176">
        <f t="shared" si="2"/>
        <v>3040400.6000000071</v>
      </c>
      <c r="F187" s="180"/>
      <c r="G187" s="181"/>
      <c r="H187" s="182"/>
      <c r="I187" s="196"/>
      <c r="J187" s="49"/>
      <c r="K187" s="233"/>
      <c r="L187" s="190"/>
      <c r="M187" s="190"/>
      <c r="N187" s="190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25">
      <c r="A188" s="175">
        <v>46065</v>
      </c>
      <c r="B188" s="170" t="s">
        <v>61</v>
      </c>
      <c r="C188" s="330">
        <v>6.41</v>
      </c>
      <c r="D188" s="329"/>
      <c r="E188" s="176">
        <f t="shared" si="2"/>
        <v>3040394.1900000069</v>
      </c>
      <c r="F188" s="229"/>
      <c r="G188" s="247"/>
      <c r="H188" s="184"/>
      <c r="I188" s="183"/>
      <c r="J188" s="84"/>
      <c r="K188" s="246"/>
      <c r="L188" s="190"/>
      <c r="M188" s="190"/>
      <c r="N188" s="190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25">
      <c r="A189" s="175">
        <v>46065</v>
      </c>
      <c r="B189" s="170" t="s">
        <v>20</v>
      </c>
      <c r="C189" s="329"/>
      <c r="D189" s="330">
        <v>3926.7</v>
      </c>
      <c r="E189" s="176">
        <f t="shared" si="2"/>
        <v>3044320.8900000071</v>
      </c>
      <c r="F189" s="227"/>
      <c r="G189" s="181"/>
      <c r="H189" s="182"/>
      <c r="I189" s="190"/>
      <c r="J189" s="190"/>
      <c r="K189" s="182"/>
      <c r="L189" s="190"/>
      <c r="M189" s="190"/>
      <c r="N189" s="190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25">
      <c r="A190" s="175">
        <v>46065</v>
      </c>
      <c r="B190" s="170" t="s">
        <v>64</v>
      </c>
      <c r="C190" s="330">
        <v>31.41</v>
      </c>
      <c r="D190" s="329"/>
      <c r="E190" s="176">
        <f t="shared" si="2"/>
        <v>3044289.480000007</v>
      </c>
      <c r="F190" s="185"/>
      <c r="G190" s="185"/>
      <c r="H190" s="185"/>
      <c r="I190" s="181"/>
      <c r="J190" s="232"/>
      <c r="K190" s="233"/>
      <c r="L190" s="190"/>
      <c r="M190" s="190"/>
      <c r="N190" s="190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25">
      <c r="A191" s="175">
        <v>46065</v>
      </c>
      <c r="B191" s="170" t="s">
        <v>65</v>
      </c>
      <c r="C191" s="330">
        <v>5.03</v>
      </c>
      <c r="D191" s="329"/>
      <c r="E191" s="176">
        <f t="shared" si="2"/>
        <v>3044284.4500000072</v>
      </c>
      <c r="F191" s="324"/>
      <c r="G191" s="181"/>
      <c r="H191" s="182"/>
      <c r="I191" s="190"/>
      <c r="J191" s="190"/>
      <c r="K191" s="182"/>
      <c r="L191" s="190"/>
      <c r="M191" s="190"/>
      <c r="N191" s="190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25">
      <c r="A192" s="175">
        <v>46065</v>
      </c>
      <c r="B192" s="170" t="s">
        <v>20</v>
      </c>
      <c r="C192" s="329"/>
      <c r="D192" s="330">
        <v>52484.28</v>
      </c>
      <c r="E192" s="176">
        <f t="shared" si="2"/>
        <v>3096768.730000007</v>
      </c>
      <c r="F192" s="229"/>
      <c r="G192" s="247"/>
      <c r="H192" s="325"/>
      <c r="I192" s="190"/>
      <c r="J192" s="190"/>
      <c r="K192" s="182"/>
      <c r="L192" s="190"/>
      <c r="M192" s="190"/>
      <c r="N192" s="190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25">
      <c r="A193" s="175">
        <v>46065</v>
      </c>
      <c r="B193" s="170" t="s">
        <v>64</v>
      </c>
      <c r="C193" s="330">
        <v>419.91</v>
      </c>
      <c r="D193" s="329"/>
      <c r="E193" s="176">
        <f t="shared" si="2"/>
        <v>3096348.8200000068</v>
      </c>
      <c r="F193" s="204"/>
      <c r="G193" s="181"/>
      <c r="H193" s="205"/>
      <c r="I193" s="181"/>
      <c r="J193" s="206"/>
      <c r="K193" s="182"/>
      <c r="L193" s="190"/>
      <c r="M193" s="190"/>
      <c r="N193" s="190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25">
      <c r="A194" s="175">
        <v>46065</v>
      </c>
      <c r="B194" s="170" t="s">
        <v>65</v>
      </c>
      <c r="C194" s="330">
        <v>67.19</v>
      </c>
      <c r="D194" s="329"/>
      <c r="E194" s="176">
        <f t="shared" si="2"/>
        <v>3096281.6300000069</v>
      </c>
      <c r="F194" s="265"/>
      <c r="G194" s="236"/>
      <c r="H194" s="190"/>
      <c r="I194" s="190"/>
      <c r="J194" s="190"/>
      <c r="K194" s="182"/>
      <c r="L194" s="190"/>
      <c r="M194" s="190"/>
      <c r="N194" s="190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25">
      <c r="A195" s="175">
        <v>46065</v>
      </c>
      <c r="B195" s="170" t="s">
        <v>19</v>
      </c>
      <c r="C195" s="329"/>
      <c r="D195" s="330">
        <v>120760.95</v>
      </c>
      <c r="E195" s="176">
        <f t="shared" si="2"/>
        <v>3217042.5800000071</v>
      </c>
      <c r="F195" s="237"/>
      <c r="G195" s="181"/>
      <c r="H195" s="182"/>
      <c r="I195" s="190"/>
      <c r="J195" s="190"/>
      <c r="K195" s="182"/>
      <c r="L195" s="190"/>
      <c r="M195" s="190"/>
      <c r="N195" s="190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25">
      <c r="A196" s="175">
        <v>46065</v>
      </c>
      <c r="B196" s="170" t="s">
        <v>60</v>
      </c>
      <c r="C196" s="330">
        <v>966.1</v>
      </c>
      <c r="D196" s="329"/>
      <c r="E196" s="176">
        <f t="shared" si="2"/>
        <v>3216076.480000007</v>
      </c>
      <c r="F196" s="229"/>
      <c r="G196" s="239"/>
      <c r="H196" s="243"/>
      <c r="I196" s="190"/>
      <c r="J196" s="190"/>
      <c r="K196" s="182"/>
      <c r="L196" s="190"/>
      <c r="M196" s="190"/>
      <c r="N196" s="190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25">
      <c r="A197" s="175">
        <v>46065</v>
      </c>
      <c r="B197" s="170" t="s">
        <v>61</v>
      </c>
      <c r="C197" s="330">
        <v>154.58000000000001</v>
      </c>
      <c r="D197" s="329"/>
      <c r="E197" s="176">
        <f t="shared" si="2"/>
        <v>3215921.9000000069</v>
      </c>
      <c r="F197" s="204"/>
      <c r="G197" s="181"/>
      <c r="H197" s="205"/>
      <c r="I197" s="181"/>
      <c r="J197" s="206"/>
      <c r="K197" s="182"/>
      <c r="L197" s="190"/>
      <c r="M197" s="190"/>
      <c r="N197" s="190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25">
      <c r="A198" s="175">
        <v>46065</v>
      </c>
      <c r="B198" s="170" t="s">
        <v>118</v>
      </c>
      <c r="C198" s="330">
        <v>575000</v>
      </c>
      <c r="D198" s="329"/>
      <c r="E198" s="176">
        <f t="shared" si="2"/>
        <v>2640921.9000000069</v>
      </c>
      <c r="F198" s="190"/>
      <c r="G198" s="181"/>
      <c r="H198" s="190"/>
      <c r="I198" s="190"/>
      <c r="J198" s="190"/>
      <c r="K198" s="182"/>
      <c r="L198" s="190"/>
      <c r="M198" s="190"/>
      <c r="N198" s="190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25">
      <c r="A199" s="175">
        <v>46066</v>
      </c>
      <c r="B199" s="170" t="s">
        <v>19</v>
      </c>
      <c r="C199" s="329"/>
      <c r="D199" s="330">
        <v>22206.78</v>
      </c>
      <c r="E199" s="176">
        <f t="shared" si="2"/>
        <v>2663128.6800000067</v>
      </c>
      <c r="F199" s="180"/>
      <c r="G199" s="181"/>
      <c r="H199" s="182"/>
      <c r="I199" s="185"/>
      <c r="J199" s="185"/>
      <c r="K199" s="185"/>
      <c r="L199" s="190"/>
      <c r="M199" s="190"/>
      <c r="N199" s="190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25">
      <c r="A200" s="175">
        <v>46066</v>
      </c>
      <c r="B200" s="170" t="s">
        <v>60</v>
      </c>
      <c r="C200" s="330">
        <v>177.65</v>
      </c>
      <c r="D200" s="329"/>
      <c r="E200" s="176">
        <f t="shared" ref="E200:E263" si="3">E199-C200+D200</f>
        <v>2662951.0300000068</v>
      </c>
      <c r="F200" s="229"/>
      <c r="G200" s="247"/>
      <c r="H200" s="184"/>
      <c r="I200" s="190"/>
      <c r="J200" s="190"/>
      <c r="K200" s="182"/>
      <c r="L200" s="190"/>
      <c r="M200" s="190"/>
      <c r="N200" s="190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25">
      <c r="A201" s="175">
        <v>46066</v>
      </c>
      <c r="B201" s="170" t="s">
        <v>61</v>
      </c>
      <c r="C201" s="330">
        <v>28.42</v>
      </c>
      <c r="D201" s="329"/>
      <c r="E201" s="176">
        <f t="shared" si="3"/>
        <v>2662922.6100000069</v>
      </c>
      <c r="F201" s="211"/>
      <c r="G201" s="83"/>
      <c r="H201" s="245"/>
      <c r="I201" s="183"/>
      <c r="J201" s="84"/>
      <c r="K201" s="246"/>
      <c r="L201" s="190"/>
      <c r="M201" s="190"/>
      <c r="N201" s="190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25">
      <c r="A202" s="175">
        <v>46066</v>
      </c>
      <c r="B202" s="170" t="s">
        <v>20</v>
      </c>
      <c r="C202" s="329"/>
      <c r="D202" s="330">
        <v>1104.95</v>
      </c>
      <c r="E202" s="176">
        <f t="shared" si="3"/>
        <v>2664027.560000007</v>
      </c>
      <c r="F202" s="229"/>
      <c r="G202" s="239"/>
      <c r="H202" s="196"/>
      <c r="I202" s="181"/>
      <c r="J202" s="70"/>
      <c r="K202" s="233"/>
      <c r="L202" s="190"/>
      <c r="M202" s="190"/>
      <c r="N202" s="190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25">
      <c r="A203" s="175">
        <v>46066</v>
      </c>
      <c r="B203" s="170" t="s">
        <v>64</v>
      </c>
      <c r="C203" s="330">
        <v>8.84</v>
      </c>
      <c r="D203" s="329"/>
      <c r="E203" s="176">
        <f t="shared" si="3"/>
        <v>2664018.7200000072</v>
      </c>
      <c r="F203" s="190"/>
      <c r="G203" s="181"/>
      <c r="H203" s="190"/>
      <c r="I203" s="190"/>
      <c r="J203" s="241"/>
      <c r="K203" s="182"/>
      <c r="L203" s="190"/>
      <c r="M203" s="190"/>
      <c r="N203" s="190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25">
      <c r="A204" s="175">
        <v>46066</v>
      </c>
      <c r="B204" s="170" t="s">
        <v>65</v>
      </c>
      <c r="C204" s="330">
        <v>1.41</v>
      </c>
      <c r="D204" s="329"/>
      <c r="E204" s="176">
        <f t="shared" si="3"/>
        <v>2664017.310000007</v>
      </c>
      <c r="F204" s="324"/>
      <c r="G204" s="181"/>
      <c r="H204" s="182"/>
      <c r="I204" s="181"/>
      <c r="J204" s="265"/>
      <c r="K204" s="233"/>
      <c r="L204" s="190"/>
      <c r="M204" s="190"/>
      <c r="N204" s="190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25">
      <c r="A205" s="175">
        <v>46066</v>
      </c>
      <c r="B205" s="170" t="s">
        <v>19</v>
      </c>
      <c r="C205" s="329"/>
      <c r="D205" s="330">
        <v>133030.18</v>
      </c>
      <c r="E205" s="176">
        <f t="shared" si="3"/>
        <v>2797047.4900000072</v>
      </c>
      <c r="F205" s="229"/>
      <c r="G205" s="247"/>
      <c r="H205" s="325"/>
      <c r="I205" s="183"/>
      <c r="J205" s="84"/>
      <c r="K205" s="248"/>
      <c r="L205" s="190"/>
      <c r="M205" s="190"/>
      <c r="N205" s="190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25">
      <c r="A206" s="175">
        <v>46066</v>
      </c>
      <c r="B206" s="170" t="s">
        <v>60</v>
      </c>
      <c r="C206" s="330">
        <v>1064.3399999999999</v>
      </c>
      <c r="D206" s="329"/>
      <c r="E206" s="176">
        <f t="shared" si="3"/>
        <v>2795983.1500000074</v>
      </c>
      <c r="F206" s="80"/>
      <c r="G206" s="85"/>
      <c r="H206" s="186"/>
      <c r="I206" s="190"/>
      <c r="J206" s="190"/>
      <c r="K206" s="182"/>
      <c r="L206" s="190"/>
      <c r="M206" s="190"/>
      <c r="N206" s="190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25">
      <c r="A207" s="175">
        <v>46066</v>
      </c>
      <c r="B207" s="170" t="s">
        <v>61</v>
      </c>
      <c r="C207" s="330">
        <v>170.29</v>
      </c>
      <c r="D207" s="329"/>
      <c r="E207" s="176">
        <f t="shared" si="3"/>
        <v>2795812.8600000073</v>
      </c>
      <c r="F207" s="237"/>
      <c r="G207" s="181"/>
      <c r="H207" s="182"/>
      <c r="I207" s="190"/>
      <c r="J207" s="190"/>
      <c r="K207" s="182"/>
      <c r="L207" s="190"/>
      <c r="M207" s="190"/>
      <c r="N207" s="190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25">
      <c r="A208" s="175">
        <v>46066</v>
      </c>
      <c r="B208" s="170" t="s">
        <v>20</v>
      </c>
      <c r="C208" s="329"/>
      <c r="D208" s="330">
        <v>49395.56</v>
      </c>
      <c r="E208" s="176">
        <f t="shared" si="3"/>
        <v>2845208.4200000074</v>
      </c>
      <c r="F208" s="204"/>
      <c r="G208" s="181"/>
      <c r="H208" s="205"/>
      <c r="I208" s="181"/>
      <c r="J208" s="206"/>
      <c r="K208" s="182"/>
      <c r="L208" s="190"/>
      <c r="M208" s="190"/>
      <c r="N208" s="190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25">
      <c r="A209" s="175">
        <v>46066</v>
      </c>
      <c r="B209" s="170" t="s">
        <v>64</v>
      </c>
      <c r="C209" s="330">
        <v>395.13</v>
      </c>
      <c r="D209" s="329"/>
      <c r="E209" s="176">
        <f t="shared" si="3"/>
        <v>2844813.2900000075</v>
      </c>
      <c r="F209" s="234"/>
      <c r="G209" s="252"/>
      <c r="H209" s="190"/>
      <c r="I209" s="190"/>
      <c r="J209" s="190"/>
      <c r="K209" s="182"/>
      <c r="L209" s="190"/>
      <c r="M209" s="190"/>
      <c r="N209" s="190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25">
      <c r="A210" s="175">
        <v>46066</v>
      </c>
      <c r="B210" s="170" t="s">
        <v>65</v>
      </c>
      <c r="C210" s="330">
        <v>63.22</v>
      </c>
      <c r="D210" s="329"/>
      <c r="E210" s="176">
        <f t="shared" si="3"/>
        <v>2844750.0700000073</v>
      </c>
      <c r="F210" s="204"/>
      <c r="G210" s="181"/>
      <c r="H210" s="205"/>
      <c r="I210" s="181"/>
      <c r="J210" s="206"/>
      <c r="K210" s="182"/>
      <c r="L210" s="190"/>
      <c r="M210" s="190"/>
      <c r="N210" s="190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25">
      <c r="A211" s="175">
        <v>46066</v>
      </c>
      <c r="B211" s="170" t="s">
        <v>118</v>
      </c>
      <c r="C211" s="330">
        <v>1300000</v>
      </c>
      <c r="D211" s="329"/>
      <c r="E211" s="176">
        <f t="shared" si="3"/>
        <v>1544750.0700000073</v>
      </c>
      <c r="F211" s="244"/>
      <c r="G211" s="181"/>
      <c r="H211" s="182"/>
      <c r="I211" s="266"/>
      <c r="J211" s="190"/>
      <c r="K211" s="182"/>
      <c r="L211" s="190"/>
      <c r="M211" s="190"/>
      <c r="N211" s="190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25">
      <c r="A212" s="175">
        <v>46069</v>
      </c>
      <c r="B212" s="170" t="s">
        <v>20</v>
      </c>
      <c r="C212" s="329"/>
      <c r="D212" s="330">
        <v>1670.79</v>
      </c>
      <c r="E212" s="176">
        <f t="shared" si="3"/>
        <v>1546420.8600000073</v>
      </c>
      <c r="F212" s="229"/>
      <c r="G212" s="239"/>
      <c r="H212" s="196"/>
      <c r="I212" s="190"/>
      <c r="J212" s="190"/>
      <c r="K212" s="182"/>
      <c r="L212" s="190"/>
      <c r="M212" s="190"/>
      <c r="N212" s="190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25">
      <c r="A213" s="175">
        <v>46069</v>
      </c>
      <c r="B213" s="170" t="s">
        <v>64</v>
      </c>
      <c r="C213" s="330">
        <v>13.37</v>
      </c>
      <c r="D213" s="329"/>
      <c r="E213" s="176">
        <f t="shared" si="3"/>
        <v>1546407.4900000072</v>
      </c>
      <c r="F213" s="211"/>
      <c r="G213" s="83"/>
      <c r="H213" s="212"/>
      <c r="I213" s="183"/>
      <c r="J213" s="84"/>
      <c r="K213" s="248"/>
      <c r="L213" s="190"/>
      <c r="M213" s="190"/>
      <c r="N213" s="190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25">
      <c r="A214" s="175">
        <v>46069</v>
      </c>
      <c r="B214" s="170" t="s">
        <v>65</v>
      </c>
      <c r="C214" s="330">
        <v>2.14</v>
      </c>
      <c r="D214" s="329"/>
      <c r="E214" s="176">
        <f t="shared" si="3"/>
        <v>1546405.3500000073</v>
      </c>
      <c r="F214" s="180"/>
      <c r="G214" s="181"/>
      <c r="H214" s="182"/>
      <c r="I214" s="185"/>
      <c r="J214" s="185"/>
      <c r="K214" s="185"/>
      <c r="L214" s="190"/>
      <c r="M214" s="190"/>
      <c r="N214" s="190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25">
      <c r="A215" s="175">
        <v>46069</v>
      </c>
      <c r="B215" s="170" t="s">
        <v>19</v>
      </c>
      <c r="C215" s="329"/>
      <c r="D215" s="330">
        <v>8150.04</v>
      </c>
      <c r="E215" s="176">
        <f t="shared" si="3"/>
        <v>1554555.3900000073</v>
      </c>
      <c r="F215" s="229"/>
      <c r="G215" s="247"/>
      <c r="H215" s="184"/>
      <c r="I215" s="185"/>
      <c r="J215" s="185"/>
      <c r="K215" s="185"/>
      <c r="L215" s="190"/>
      <c r="M215" s="190"/>
      <c r="N215" s="190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25">
      <c r="A216" s="175">
        <v>46069</v>
      </c>
      <c r="B216" s="170" t="s">
        <v>60</v>
      </c>
      <c r="C216" s="330">
        <v>65.180000000000007</v>
      </c>
      <c r="D216" s="329"/>
      <c r="E216" s="176">
        <f t="shared" si="3"/>
        <v>1554490.2100000074</v>
      </c>
      <c r="F216" s="211"/>
      <c r="G216" s="83"/>
      <c r="H216" s="245"/>
      <c r="I216" s="183"/>
      <c r="J216" s="84"/>
      <c r="K216" s="246"/>
      <c r="L216" s="190"/>
      <c r="M216" s="190"/>
      <c r="N216" s="190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25">
      <c r="A217" s="175">
        <v>46069</v>
      </c>
      <c r="B217" s="170" t="s">
        <v>61</v>
      </c>
      <c r="C217" s="330">
        <v>10.43</v>
      </c>
      <c r="D217" s="329"/>
      <c r="E217" s="176">
        <f t="shared" si="3"/>
        <v>1554479.7800000075</v>
      </c>
      <c r="F217" s="185"/>
      <c r="G217" s="185"/>
      <c r="H217" s="185"/>
      <c r="I217" s="190"/>
      <c r="J217" s="190"/>
      <c r="K217" s="182"/>
      <c r="L217" s="190"/>
      <c r="M217" s="190"/>
      <c r="N217" s="190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25">
      <c r="A218" s="175">
        <v>46069</v>
      </c>
      <c r="B218" s="170" t="s">
        <v>19</v>
      </c>
      <c r="C218" s="329"/>
      <c r="D218" s="330">
        <v>169604.77</v>
      </c>
      <c r="E218" s="176">
        <f t="shared" si="3"/>
        <v>1724084.5500000075</v>
      </c>
      <c r="F218" s="185"/>
      <c r="G218" s="185"/>
      <c r="H218" s="185"/>
      <c r="I218" s="190"/>
      <c r="J218" s="190"/>
      <c r="K218" s="182"/>
      <c r="L218" s="190"/>
      <c r="M218" s="190"/>
      <c r="N218" s="190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25">
      <c r="A219" s="175">
        <v>46069</v>
      </c>
      <c r="B219" s="170" t="s">
        <v>60</v>
      </c>
      <c r="C219" s="330">
        <v>1356.87</v>
      </c>
      <c r="D219" s="329"/>
      <c r="E219" s="176">
        <f t="shared" si="3"/>
        <v>1722727.6800000074</v>
      </c>
      <c r="F219" s="237"/>
      <c r="G219" s="181"/>
      <c r="H219" s="182"/>
      <c r="I219" s="190"/>
      <c r="J219" s="190"/>
      <c r="K219" s="182"/>
      <c r="L219" s="190"/>
      <c r="M219" s="190"/>
      <c r="N219" s="190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25">
      <c r="A220" s="175">
        <v>46069</v>
      </c>
      <c r="B220" s="170" t="s">
        <v>61</v>
      </c>
      <c r="C220" s="330">
        <v>217.1</v>
      </c>
      <c r="D220" s="329"/>
      <c r="E220" s="176">
        <f t="shared" si="3"/>
        <v>1722510.5800000073</v>
      </c>
      <c r="F220" s="324"/>
      <c r="G220" s="181"/>
      <c r="H220" s="182"/>
      <c r="I220" s="181"/>
      <c r="J220" s="206"/>
      <c r="K220" s="248"/>
      <c r="L220" s="190"/>
      <c r="M220" s="190"/>
      <c r="N220" s="190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25">
      <c r="A221" s="175">
        <v>46069</v>
      </c>
      <c r="B221" s="170" t="s">
        <v>20</v>
      </c>
      <c r="C221" s="329"/>
      <c r="D221" s="330">
        <v>39939.39</v>
      </c>
      <c r="E221" s="176">
        <f t="shared" si="3"/>
        <v>1762449.9700000072</v>
      </c>
      <c r="F221" s="229"/>
      <c r="G221" s="247"/>
      <c r="H221" s="325"/>
      <c r="I221" s="190"/>
      <c r="J221" s="190"/>
      <c r="K221" s="182"/>
      <c r="L221" s="190"/>
      <c r="M221" s="190"/>
      <c r="N221" s="190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25">
      <c r="A222" s="175">
        <v>46069</v>
      </c>
      <c r="B222" s="170" t="s">
        <v>64</v>
      </c>
      <c r="C222" s="330">
        <v>319.52999999999997</v>
      </c>
      <c r="D222" s="329"/>
      <c r="E222" s="176">
        <f t="shared" si="3"/>
        <v>1762130.4400000072</v>
      </c>
      <c r="F222" s="185"/>
      <c r="G222" s="185"/>
      <c r="H222" s="185"/>
      <c r="I222" s="190"/>
      <c r="J222" s="190"/>
      <c r="K222" s="182"/>
      <c r="L222" s="190"/>
      <c r="M222" s="190"/>
      <c r="N222" s="190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25">
      <c r="A223" s="175">
        <v>46069</v>
      </c>
      <c r="B223" s="170" t="s">
        <v>65</v>
      </c>
      <c r="C223" s="330">
        <v>51.12</v>
      </c>
      <c r="D223" s="329"/>
      <c r="E223" s="176">
        <f t="shared" si="3"/>
        <v>1762079.3200000071</v>
      </c>
      <c r="F223" s="185"/>
      <c r="G223" s="185"/>
      <c r="H223" s="185"/>
      <c r="I223" s="181"/>
      <c r="J223" s="70"/>
      <c r="K223" s="233"/>
      <c r="L223" s="190"/>
      <c r="M223" s="190"/>
      <c r="N223" s="190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25">
      <c r="A224" s="175">
        <v>46069</v>
      </c>
      <c r="B224" s="170" t="s">
        <v>19</v>
      </c>
      <c r="C224" s="329"/>
      <c r="D224" s="330">
        <v>10144.1</v>
      </c>
      <c r="E224" s="176">
        <f t="shared" si="3"/>
        <v>1772223.4200000071</v>
      </c>
      <c r="F224" s="190"/>
      <c r="G224" s="181"/>
      <c r="H224" s="190"/>
      <c r="I224" s="190"/>
      <c r="J224" s="190"/>
      <c r="K224" s="182"/>
      <c r="L224" s="190"/>
      <c r="M224" s="190"/>
      <c r="N224" s="190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25">
      <c r="A225" s="175">
        <v>46069</v>
      </c>
      <c r="B225" s="170" t="s">
        <v>60</v>
      </c>
      <c r="C225" s="330">
        <v>81.150000000000006</v>
      </c>
      <c r="D225" s="329"/>
      <c r="E225" s="176">
        <f t="shared" si="3"/>
        <v>1772142.2700000072</v>
      </c>
      <c r="F225" s="211"/>
      <c r="G225" s="83"/>
      <c r="H225" s="212"/>
      <c r="I225" s="183"/>
      <c r="J225" s="84"/>
      <c r="K225" s="248"/>
      <c r="L225" s="190"/>
      <c r="M225" s="190"/>
      <c r="N225" s="190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25">
      <c r="A226" s="175">
        <v>46069</v>
      </c>
      <c r="B226" s="170" t="s">
        <v>61</v>
      </c>
      <c r="C226" s="330">
        <v>12.98</v>
      </c>
      <c r="D226" s="329"/>
      <c r="E226" s="176">
        <f t="shared" si="3"/>
        <v>1772129.2900000073</v>
      </c>
      <c r="F226" s="185"/>
      <c r="G226" s="185"/>
      <c r="H226" s="185"/>
      <c r="I226" s="190"/>
      <c r="J226" s="190"/>
      <c r="K226" s="182"/>
      <c r="L226" s="190"/>
      <c r="M226" s="190"/>
      <c r="N226" s="190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25">
      <c r="A227" s="175">
        <v>46069</v>
      </c>
      <c r="B227" s="170" t="s">
        <v>20</v>
      </c>
      <c r="C227" s="329"/>
      <c r="D227" s="330">
        <v>5080.9799999999996</v>
      </c>
      <c r="E227" s="176">
        <f t="shared" si="3"/>
        <v>1777210.2700000072</v>
      </c>
      <c r="F227" s="185"/>
      <c r="G227" s="185"/>
      <c r="H227" s="185"/>
      <c r="I227" s="185"/>
      <c r="J227" s="185"/>
      <c r="K227" s="185"/>
      <c r="L227" s="185"/>
      <c r="M227" s="190"/>
      <c r="N227" s="190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25">
      <c r="A228" s="175">
        <v>46069</v>
      </c>
      <c r="B228" s="170" t="s">
        <v>64</v>
      </c>
      <c r="C228" s="330">
        <v>40.630000000000003</v>
      </c>
      <c r="D228" s="329"/>
      <c r="E228" s="176">
        <f t="shared" si="3"/>
        <v>1777169.6400000073</v>
      </c>
      <c r="F228" s="253"/>
      <c r="G228" s="251"/>
      <c r="H228" s="185"/>
      <c r="I228" s="190"/>
      <c r="J228" s="190"/>
      <c r="K228" s="182"/>
      <c r="L228" s="190"/>
      <c r="M228" s="190"/>
      <c r="N228" s="190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25">
      <c r="A229" s="175">
        <v>46069</v>
      </c>
      <c r="B229" s="170" t="s">
        <v>65</v>
      </c>
      <c r="C229" s="330">
        <v>6.5</v>
      </c>
      <c r="D229" s="329"/>
      <c r="E229" s="176">
        <f t="shared" si="3"/>
        <v>1777163.1400000073</v>
      </c>
      <c r="F229" s="253"/>
      <c r="G229" s="251"/>
      <c r="H229" s="190"/>
      <c r="I229" s="190"/>
      <c r="J229" s="190"/>
      <c r="K229" s="182"/>
      <c r="L229" s="190"/>
      <c r="M229" s="190"/>
      <c r="N229" s="190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25">
      <c r="A230" s="175">
        <v>46069</v>
      </c>
      <c r="B230" s="170" t="s">
        <v>19</v>
      </c>
      <c r="C230" s="329"/>
      <c r="D230" s="330">
        <v>248253.37</v>
      </c>
      <c r="E230" s="176">
        <f t="shared" si="3"/>
        <v>2025416.5100000072</v>
      </c>
      <c r="F230" s="328"/>
      <c r="G230" s="80"/>
      <c r="H230" s="190"/>
      <c r="I230" s="181"/>
      <c r="J230" s="190"/>
      <c r="K230" s="182"/>
      <c r="L230" s="190"/>
      <c r="M230" s="190"/>
      <c r="N230" s="190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25">
      <c r="A231" s="175">
        <v>46069</v>
      </c>
      <c r="B231" s="170" t="s">
        <v>60</v>
      </c>
      <c r="C231" s="330">
        <v>1986.05</v>
      </c>
      <c r="D231" s="329"/>
      <c r="E231" s="176">
        <f t="shared" si="3"/>
        <v>2023430.4600000072</v>
      </c>
      <c r="F231" s="234"/>
      <c r="G231" s="252"/>
      <c r="H231" s="190"/>
      <c r="I231" s="190"/>
      <c r="J231" s="190"/>
      <c r="K231" s="182"/>
      <c r="L231" s="190"/>
      <c r="M231" s="190"/>
      <c r="N231" s="190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25">
      <c r="A232" s="175">
        <v>46069</v>
      </c>
      <c r="B232" s="170" t="s">
        <v>61</v>
      </c>
      <c r="C232" s="330">
        <v>317.77</v>
      </c>
      <c r="D232" s="329"/>
      <c r="E232" s="176">
        <f t="shared" si="3"/>
        <v>2023112.6900000072</v>
      </c>
      <c r="F232" s="185"/>
      <c r="G232" s="185"/>
      <c r="H232" s="185"/>
      <c r="I232" s="181"/>
      <c r="J232" s="206"/>
      <c r="K232" s="233"/>
      <c r="L232" s="190"/>
      <c r="M232" s="190"/>
      <c r="N232" s="190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25">
      <c r="A233" s="175">
        <v>46069</v>
      </c>
      <c r="B233" s="170" t="s">
        <v>20</v>
      </c>
      <c r="C233" s="329"/>
      <c r="D233" s="330">
        <v>58731.66</v>
      </c>
      <c r="E233" s="176">
        <f t="shared" si="3"/>
        <v>2081844.3500000071</v>
      </c>
      <c r="F233" s="185"/>
      <c r="G233" s="185"/>
      <c r="H233" s="185"/>
      <c r="I233" s="190"/>
      <c r="J233" s="190"/>
      <c r="K233" s="233"/>
      <c r="L233" s="190"/>
      <c r="M233" s="190"/>
      <c r="N233" s="190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25">
      <c r="A234" s="175">
        <v>46069</v>
      </c>
      <c r="B234" s="170" t="s">
        <v>64</v>
      </c>
      <c r="C234" s="330">
        <v>469.85</v>
      </c>
      <c r="D234" s="329"/>
      <c r="E234" s="176">
        <f t="shared" si="3"/>
        <v>2081374.500000007</v>
      </c>
      <c r="F234" s="185"/>
      <c r="G234" s="185"/>
      <c r="H234" s="185"/>
      <c r="I234" s="190"/>
      <c r="J234" s="190"/>
      <c r="K234" s="182"/>
      <c r="L234" s="190"/>
      <c r="M234" s="190"/>
      <c r="N234" s="190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25">
      <c r="A235" s="175">
        <v>46069</v>
      </c>
      <c r="B235" s="170" t="s">
        <v>65</v>
      </c>
      <c r="C235" s="330">
        <v>75.180000000000007</v>
      </c>
      <c r="D235" s="329"/>
      <c r="E235" s="176">
        <f t="shared" si="3"/>
        <v>2081299.3200000071</v>
      </c>
      <c r="F235" s="185"/>
      <c r="G235" s="185"/>
      <c r="H235" s="185"/>
      <c r="I235" s="190"/>
      <c r="J235" s="190"/>
      <c r="K235" s="182"/>
      <c r="L235" s="190"/>
      <c r="M235" s="190"/>
      <c r="N235" s="190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25">
      <c r="A236" s="175">
        <v>46069</v>
      </c>
      <c r="B236" s="170" t="s">
        <v>19</v>
      </c>
      <c r="C236" s="329"/>
      <c r="D236" s="330">
        <v>19473.88</v>
      </c>
      <c r="E236" s="176">
        <f t="shared" si="3"/>
        <v>2100773.2000000072</v>
      </c>
      <c r="F236" s="185"/>
      <c r="G236" s="185"/>
      <c r="H236" s="185"/>
      <c r="I236" s="190"/>
      <c r="J236" s="190"/>
      <c r="K236" s="182"/>
      <c r="L236" s="190"/>
      <c r="M236" s="190"/>
      <c r="N236" s="190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25">
      <c r="A237" s="175">
        <v>46069</v>
      </c>
      <c r="B237" s="170" t="s">
        <v>60</v>
      </c>
      <c r="C237" s="330">
        <v>155.80000000000001</v>
      </c>
      <c r="D237" s="329"/>
      <c r="E237" s="176">
        <f t="shared" si="3"/>
        <v>2100617.4000000074</v>
      </c>
      <c r="F237" s="185"/>
      <c r="G237" s="185"/>
      <c r="H237" s="185"/>
      <c r="I237" s="185"/>
      <c r="J237" s="190"/>
      <c r="K237" s="182"/>
      <c r="L237" s="190"/>
      <c r="M237" s="190"/>
      <c r="N237" s="190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25">
      <c r="A238" s="175">
        <v>46069</v>
      </c>
      <c r="B238" s="170" t="s">
        <v>61</v>
      </c>
      <c r="C238" s="330">
        <v>24.93</v>
      </c>
      <c r="D238" s="329"/>
      <c r="E238" s="176">
        <f t="shared" si="3"/>
        <v>2100592.4700000072</v>
      </c>
      <c r="F238" s="324"/>
      <c r="G238" s="181"/>
      <c r="H238" s="182"/>
      <c r="I238" s="185"/>
      <c r="J238" s="190"/>
      <c r="K238" s="182"/>
      <c r="L238" s="190"/>
      <c r="M238" s="190"/>
      <c r="N238" s="190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25">
      <c r="A239" s="175">
        <v>46069</v>
      </c>
      <c r="B239" s="170" t="s">
        <v>20</v>
      </c>
      <c r="C239" s="329"/>
      <c r="D239" s="330">
        <v>1364.55</v>
      </c>
      <c r="E239" s="176">
        <f t="shared" si="3"/>
        <v>2101957.020000007</v>
      </c>
      <c r="F239" s="229"/>
      <c r="G239" s="247"/>
      <c r="H239" s="325"/>
      <c r="I239" s="185"/>
      <c r="J239" s="49"/>
      <c r="K239" s="233"/>
      <c r="L239" s="190"/>
      <c r="M239" s="190"/>
      <c r="N239" s="190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25">
      <c r="A240" s="175">
        <v>46069</v>
      </c>
      <c r="B240" s="170" t="s">
        <v>64</v>
      </c>
      <c r="C240" s="330">
        <v>10.92</v>
      </c>
      <c r="D240" s="329"/>
      <c r="E240" s="176">
        <f t="shared" si="3"/>
        <v>2101946.1000000071</v>
      </c>
      <c r="F240" s="265"/>
      <c r="G240" s="236"/>
      <c r="H240" s="241"/>
      <c r="I240" s="190"/>
      <c r="J240" s="190"/>
      <c r="K240" s="182"/>
      <c r="L240" s="190"/>
      <c r="M240" s="190"/>
      <c r="N240" s="190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25">
      <c r="A241" s="175">
        <v>46069</v>
      </c>
      <c r="B241" s="170" t="s">
        <v>65</v>
      </c>
      <c r="C241" s="330">
        <v>1.75</v>
      </c>
      <c r="D241" s="329"/>
      <c r="E241" s="176">
        <f t="shared" si="3"/>
        <v>2101944.3500000071</v>
      </c>
      <c r="F241" s="185"/>
      <c r="G241" s="185"/>
      <c r="H241" s="185"/>
      <c r="I241" s="183"/>
      <c r="J241" s="84"/>
      <c r="K241" s="248"/>
      <c r="L241" s="190"/>
      <c r="M241" s="190"/>
      <c r="N241" s="190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25">
      <c r="A242" s="175">
        <v>46069</v>
      </c>
      <c r="B242" s="170" t="s">
        <v>20</v>
      </c>
      <c r="C242" s="329"/>
      <c r="D242" s="330">
        <v>85623.98</v>
      </c>
      <c r="E242" s="176">
        <f t="shared" si="3"/>
        <v>2187568.3300000071</v>
      </c>
      <c r="F242" s="80"/>
      <c r="G242" s="85"/>
      <c r="H242" s="185"/>
      <c r="I242" s="190"/>
      <c r="J242" s="196"/>
      <c r="K242" s="182"/>
      <c r="L242" s="190"/>
      <c r="M242" s="190"/>
      <c r="N242" s="190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25">
      <c r="A243" s="175">
        <v>46069</v>
      </c>
      <c r="B243" s="170" t="s">
        <v>64</v>
      </c>
      <c r="C243" s="330">
        <v>685.03</v>
      </c>
      <c r="D243" s="329"/>
      <c r="E243" s="176">
        <f t="shared" si="3"/>
        <v>2186883.3000000073</v>
      </c>
      <c r="F243" s="185"/>
      <c r="G243" s="185"/>
      <c r="H243" s="185"/>
      <c r="I243" s="190"/>
      <c r="J243" s="190"/>
      <c r="K243" s="182"/>
      <c r="L243" s="190"/>
      <c r="M243" s="190"/>
      <c r="N243" s="190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25">
      <c r="A244" s="175">
        <v>46069</v>
      </c>
      <c r="B244" s="170" t="s">
        <v>65</v>
      </c>
      <c r="C244" s="330">
        <v>109.6</v>
      </c>
      <c r="D244" s="329"/>
      <c r="E244" s="176">
        <f t="shared" si="3"/>
        <v>2186773.7000000072</v>
      </c>
      <c r="F244" s="185"/>
      <c r="G244" s="185"/>
      <c r="H244" s="185"/>
      <c r="I244" s="181"/>
      <c r="J244" s="206"/>
      <c r="K244" s="248"/>
      <c r="L244" s="190"/>
      <c r="M244" s="190"/>
      <c r="N244" s="190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25">
      <c r="A245" s="175">
        <v>46069</v>
      </c>
      <c r="B245" s="170" t="s">
        <v>19</v>
      </c>
      <c r="C245" s="329"/>
      <c r="D245" s="330">
        <v>425.26</v>
      </c>
      <c r="E245" s="176">
        <f t="shared" si="3"/>
        <v>2187198.9600000069</v>
      </c>
      <c r="F245" s="185"/>
      <c r="G245" s="185"/>
      <c r="H245" s="185"/>
      <c r="I245" s="190"/>
      <c r="J245" s="190"/>
      <c r="K245" s="233"/>
      <c r="L245" s="190"/>
      <c r="M245" s="190"/>
      <c r="N245" s="190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25">
      <c r="A246" s="175">
        <v>46069</v>
      </c>
      <c r="B246" s="170" t="s">
        <v>68</v>
      </c>
      <c r="C246" s="330">
        <v>12.55</v>
      </c>
      <c r="D246" s="329"/>
      <c r="E246" s="176">
        <f t="shared" si="3"/>
        <v>2187186.4100000071</v>
      </c>
      <c r="F246" s="236"/>
      <c r="G246" s="236"/>
      <c r="H246" s="236"/>
      <c r="I246" s="236"/>
      <c r="J246" s="190"/>
      <c r="K246" s="182"/>
      <c r="L246" s="190"/>
      <c r="M246" s="190"/>
      <c r="N246" s="190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25">
      <c r="A247" s="175">
        <v>46069</v>
      </c>
      <c r="B247" s="170" t="s">
        <v>69</v>
      </c>
      <c r="C247" s="330">
        <v>2.0099999999999998</v>
      </c>
      <c r="D247" s="329"/>
      <c r="E247" s="176">
        <f t="shared" si="3"/>
        <v>2187184.4000000074</v>
      </c>
      <c r="F247" s="324"/>
      <c r="G247" s="181"/>
      <c r="H247" s="182"/>
      <c r="I247" s="236"/>
      <c r="J247" s="190"/>
      <c r="K247" s="182"/>
      <c r="L247" s="190"/>
      <c r="M247" s="190"/>
      <c r="N247" s="190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25">
      <c r="A248" s="175">
        <v>46069</v>
      </c>
      <c r="B248" s="170" t="s">
        <v>19</v>
      </c>
      <c r="C248" s="329"/>
      <c r="D248" s="330">
        <v>236562.98</v>
      </c>
      <c r="E248" s="176">
        <f t="shared" si="3"/>
        <v>2423747.3800000073</v>
      </c>
      <c r="F248" s="229"/>
      <c r="G248" s="247"/>
      <c r="H248" s="325"/>
      <c r="I248" s="236"/>
      <c r="J248" s="190"/>
      <c r="K248" s="182"/>
      <c r="L248" s="190"/>
      <c r="M248" s="190"/>
      <c r="N248" s="190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25">
      <c r="A249" s="175">
        <v>46069</v>
      </c>
      <c r="B249" s="170" t="s">
        <v>60</v>
      </c>
      <c r="C249" s="330">
        <v>1892.52</v>
      </c>
      <c r="D249" s="329"/>
      <c r="E249" s="176">
        <f t="shared" si="3"/>
        <v>2421854.8600000073</v>
      </c>
      <c r="F249" s="229"/>
      <c r="G249" s="239"/>
      <c r="H249" s="196"/>
      <c r="I249" s="185"/>
      <c r="J249" s="190"/>
      <c r="K249" s="182"/>
      <c r="L249" s="190"/>
      <c r="M249" s="190"/>
      <c r="N249" s="190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25">
      <c r="A250" s="175">
        <v>46069</v>
      </c>
      <c r="B250" s="170" t="s">
        <v>61</v>
      </c>
      <c r="C250" s="330">
        <v>302.8</v>
      </c>
      <c r="D250" s="329"/>
      <c r="E250" s="176">
        <f t="shared" si="3"/>
        <v>2421552.0600000075</v>
      </c>
      <c r="F250" s="237"/>
      <c r="G250" s="181"/>
      <c r="H250" s="182"/>
      <c r="I250" s="190"/>
      <c r="J250" s="190"/>
      <c r="K250" s="182"/>
      <c r="L250" s="190"/>
      <c r="M250" s="190"/>
      <c r="N250" s="190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25">
      <c r="A251" s="175"/>
      <c r="B251" s="170"/>
      <c r="C251" s="287"/>
      <c r="D251" s="329"/>
      <c r="E251" s="176">
        <f t="shared" si="3"/>
        <v>2421552.0600000075</v>
      </c>
      <c r="F251" s="185"/>
      <c r="G251" s="185"/>
      <c r="H251" s="185"/>
      <c r="I251" s="190"/>
      <c r="J251" s="190"/>
      <c r="K251" s="182"/>
      <c r="L251" s="190"/>
      <c r="M251" s="190"/>
      <c r="N251" s="190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25">
      <c r="A252" s="175"/>
      <c r="B252" s="170"/>
      <c r="C252" s="329"/>
      <c r="D252" s="287"/>
      <c r="E252" s="176">
        <f t="shared" si="3"/>
        <v>2421552.0600000075</v>
      </c>
      <c r="F252" s="185"/>
      <c r="G252" s="185"/>
      <c r="H252" s="185"/>
      <c r="I252" s="190"/>
      <c r="J252" s="190"/>
      <c r="K252" s="182"/>
      <c r="L252" s="190"/>
      <c r="M252" s="190"/>
      <c r="N252" s="190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25">
      <c r="A253" s="175"/>
      <c r="B253" s="170"/>
      <c r="C253" s="287"/>
      <c r="D253" s="329"/>
      <c r="E253" s="176">
        <f t="shared" si="3"/>
        <v>2421552.0600000075</v>
      </c>
      <c r="F253" s="185"/>
      <c r="G253" s="185"/>
      <c r="H253" s="185"/>
      <c r="I253" s="181"/>
      <c r="J253" s="49"/>
      <c r="K253" s="233"/>
      <c r="L253" s="190"/>
      <c r="M253" s="190"/>
      <c r="N253" s="190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25">
      <c r="A254" s="175"/>
      <c r="B254" s="170"/>
      <c r="C254" s="287"/>
      <c r="D254" s="329"/>
      <c r="E254" s="176">
        <f t="shared" si="3"/>
        <v>2421552.0600000075</v>
      </c>
      <c r="F254" s="180"/>
      <c r="G254" s="181"/>
      <c r="H254" s="182"/>
      <c r="I254" s="190"/>
      <c r="J254" s="190"/>
      <c r="K254" s="182"/>
      <c r="L254" s="190"/>
      <c r="M254" s="190"/>
      <c r="N254" s="190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25">
      <c r="A255" s="175"/>
      <c r="B255" s="170"/>
      <c r="C255" s="329"/>
      <c r="D255" s="287"/>
      <c r="E255" s="176">
        <f t="shared" si="3"/>
        <v>2421552.0600000075</v>
      </c>
      <c r="F255" s="229"/>
      <c r="G255" s="247"/>
      <c r="H255" s="184"/>
      <c r="I255" s="190"/>
      <c r="J255" s="190"/>
      <c r="K255" s="182"/>
      <c r="L255" s="190"/>
      <c r="M255" s="190"/>
      <c r="N255" s="190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25">
      <c r="A256" s="175"/>
      <c r="B256" s="170"/>
      <c r="C256" s="287"/>
      <c r="D256" s="329"/>
      <c r="E256" s="176">
        <f t="shared" si="3"/>
        <v>2421552.0600000075</v>
      </c>
      <c r="F256" s="237"/>
      <c r="G256" s="181"/>
      <c r="H256" s="182"/>
      <c r="I256" s="190"/>
      <c r="J256" s="190"/>
      <c r="K256" s="182"/>
      <c r="L256" s="190"/>
      <c r="M256" s="190"/>
      <c r="N256" s="190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25">
      <c r="A257" s="175"/>
      <c r="B257" s="170"/>
      <c r="C257" s="287"/>
      <c r="D257" s="329"/>
      <c r="E257" s="176">
        <f t="shared" si="3"/>
        <v>2421552.0600000075</v>
      </c>
      <c r="F257" s="229"/>
      <c r="G257" s="239"/>
      <c r="H257" s="243"/>
      <c r="I257" s="190"/>
      <c r="J257" s="190"/>
      <c r="K257" s="182"/>
      <c r="L257" s="190"/>
      <c r="M257" s="190"/>
      <c r="N257" s="190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25">
      <c r="A258" s="175"/>
      <c r="B258" s="170"/>
      <c r="C258" s="329"/>
      <c r="D258" s="287"/>
      <c r="E258" s="176">
        <f t="shared" si="3"/>
        <v>2421552.0600000075</v>
      </c>
      <c r="F258" s="185"/>
      <c r="G258" s="185"/>
      <c r="H258" s="185"/>
      <c r="I258" s="190"/>
      <c r="J258" s="190"/>
      <c r="K258" s="182"/>
      <c r="L258" s="190"/>
      <c r="M258" s="190"/>
      <c r="N258" s="190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25">
      <c r="A259" s="175"/>
      <c r="B259" s="170"/>
      <c r="C259" s="287"/>
      <c r="D259" s="329"/>
      <c r="E259" s="176">
        <f t="shared" si="3"/>
        <v>2421552.0600000075</v>
      </c>
      <c r="F259" s="229"/>
      <c r="G259" s="239"/>
      <c r="H259" s="196"/>
      <c r="I259" s="183"/>
      <c r="J259" s="84"/>
      <c r="K259" s="248"/>
      <c r="L259" s="185"/>
      <c r="M259" s="190"/>
      <c r="N259" s="190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25">
      <c r="A260" s="175"/>
      <c r="B260" s="170"/>
      <c r="C260" s="287"/>
      <c r="D260" s="329"/>
      <c r="E260" s="176">
        <f t="shared" si="3"/>
        <v>2421552.0600000075</v>
      </c>
      <c r="F260" s="185"/>
      <c r="G260" s="185"/>
      <c r="H260" s="185"/>
      <c r="I260" s="185"/>
      <c r="J260" s="185"/>
      <c r="K260" s="185"/>
      <c r="L260" s="185"/>
      <c r="M260" s="190"/>
      <c r="N260" s="190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25">
      <c r="A261" s="175"/>
      <c r="B261" s="170"/>
      <c r="C261" s="329"/>
      <c r="D261" s="287"/>
      <c r="E261" s="176">
        <f t="shared" si="3"/>
        <v>2421552.0600000075</v>
      </c>
      <c r="F261" s="80"/>
      <c r="G261" s="253"/>
      <c r="H261" s="185"/>
      <c r="I261" s="185"/>
      <c r="J261" s="185"/>
      <c r="K261" s="185"/>
      <c r="L261" s="185"/>
      <c r="M261" s="190"/>
      <c r="N261" s="190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25">
      <c r="A262" s="175"/>
      <c r="B262" s="170"/>
      <c r="C262" s="287"/>
      <c r="D262" s="329"/>
      <c r="E262" s="176">
        <f t="shared" si="3"/>
        <v>2421552.0600000075</v>
      </c>
      <c r="F262" s="185"/>
      <c r="G262" s="185"/>
      <c r="H262" s="185"/>
      <c r="I262" s="185"/>
      <c r="J262" s="185"/>
      <c r="K262" s="185"/>
      <c r="L262" s="185"/>
      <c r="M262" s="190"/>
      <c r="N262" s="190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25">
      <c r="A263" s="175"/>
      <c r="B263" s="170"/>
      <c r="C263" s="287"/>
      <c r="D263" s="329"/>
      <c r="E263" s="176">
        <f t="shared" si="3"/>
        <v>2421552.0600000075</v>
      </c>
      <c r="F263" s="80"/>
      <c r="G263" s="253"/>
      <c r="H263" s="185"/>
      <c r="I263" s="185"/>
      <c r="J263" s="185"/>
      <c r="K263" s="185"/>
      <c r="L263" s="185"/>
      <c r="M263" s="190"/>
      <c r="N263" s="190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25">
      <c r="A264" s="175"/>
      <c r="B264" s="170"/>
      <c r="C264" s="329"/>
      <c r="D264" s="330"/>
      <c r="E264" s="176">
        <f t="shared" ref="E264:E327" si="4">E263-C264+D264</f>
        <v>2421552.0600000075</v>
      </c>
      <c r="F264" s="80"/>
      <c r="G264" s="253"/>
      <c r="H264" s="185"/>
      <c r="I264" s="185"/>
      <c r="J264" s="185"/>
      <c r="K264" s="185"/>
      <c r="L264" s="185"/>
      <c r="M264" s="190"/>
      <c r="N264" s="190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25">
      <c r="A265" s="175"/>
      <c r="B265" s="170"/>
      <c r="C265" s="287"/>
      <c r="D265" s="329"/>
      <c r="E265" s="176">
        <f t="shared" si="4"/>
        <v>2421552.0600000075</v>
      </c>
      <c r="F265" s="227"/>
      <c r="G265" s="181"/>
      <c r="H265" s="182"/>
      <c r="I265" s="185"/>
      <c r="J265" s="185"/>
      <c r="K265" s="185"/>
      <c r="L265" s="185"/>
      <c r="M265" s="190"/>
      <c r="N265" s="190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25">
      <c r="A266" s="175"/>
      <c r="B266" s="170"/>
      <c r="C266" s="287"/>
      <c r="D266" s="329"/>
      <c r="E266" s="176">
        <f t="shared" si="4"/>
        <v>2421552.0600000075</v>
      </c>
      <c r="F266" s="229"/>
      <c r="G266" s="239"/>
      <c r="H266" s="196"/>
      <c r="I266" s="185"/>
      <c r="J266" s="185"/>
      <c r="K266" s="185"/>
      <c r="L266" s="185"/>
      <c r="M266" s="190"/>
      <c r="N266" s="190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25">
      <c r="A267" s="175"/>
      <c r="B267" s="170"/>
      <c r="C267" s="329"/>
      <c r="D267" s="287"/>
      <c r="E267" s="176">
        <f t="shared" si="4"/>
        <v>2421552.0600000075</v>
      </c>
      <c r="F267" s="185"/>
      <c r="G267" s="185"/>
      <c r="H267" s="185"/>
      <c r="I267" s="185"/>
      <c r="J267" s="185"/>
      <c r="K267" s="185"/>
      <c r="L267" s="185"/>
      <c r="M267" s="190"/>
      <c r="N267" s="190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25">
      <c r="A268" s="175"/>
      <c r="B268" s="170"/>
      <c r="C268" s="287"/>
      <c r="D268" s="329"/>
      <c r="E268" s="176">
        <f t="shared" si="4"/>
        <v>2421552.0600000075</v>
      </c>
      <c r="F268" s="237"/>
      <c r="G268" s="181"/>
      <c r="H268" s="182"/>
      <c r="I268" s="185"/>
      <c r="J268" s="185"/>
      <c r="K268" s="185"/>
      <c r="L268" s="185"/>
      <c r="M268" s="190"/>
      <c r="N268" s="190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25">
      <c r="A269" s="175"/>
      <c r="B269" s="170"/>
      <c r="C269" s="287"/>
      <c r="D269" s="329"/>
      <c r="E269" s="176">
        <f t="shared" si="4"/>
        <v>2421552.0600000075</v>
      </c>
      <c r="F269" s="180"/>
      <c r="G269" s="181"/>
      <c r="H269" s="182"/>
      <c r="I269" s="185"/>
      <c r="J269" s="185"/>
      <c r="K269" s="185"/>
      <c r="L269" s="185"/>
      <c r="M269" s="190"/>
      <c r="N269" s="190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25">
      <c r="A270" s="175"/>
      <c r="B270" s="170"/>
      <c r="C270" s="329"/>
      <c r="D270" s="287"/>
      <c r="E270" s="176">
        <f t="shared" si="4"/>
        <v>2421552.0600000075</v>
      </c>
      <c r="F270" s="229"/>
      <c r="G270" s="247"/>
      <c r="H270" s="184"/>
      <c r="I270" s="185"/>
      <c r="J270" s="185"/>
      <c r="K270" s="185"/>
      <c r="L270" s="185"/>
      <c r="M270" s="190"/>
      <c r="N270" s="190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25">
      <c r="A271" s="175"/>
      <c r="B271" s="170"/>
      <c r="C271" s="287"/>
      <c r="D271" s="329"/>
      <c r="E271" s="176">
        <f t="shared" si="4"/>
        <v>2421552.0600000075</v>
      </c>
      <c r="F271" s="211"/>
      <c r="G271" s="83"/>
      <c r="H271" s="212"/>
      <c r="I271" s="183"/>
      <c r="J271" s="84"/>
      <c r="K271" s="248"/>
      <c r="L271" s="185"/>
      <c r="M271" s="190"/>
      <c r="N271" s="190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25">
      <c r="A272" s="175"/>
      <c r="B272" s="170"/>
      <c r="C272" s="287"/>
      <c r="D272" s="329"/>
      <c r="E272" s="176">
        <f t="shared" si="4"/>
        <v>2421552.0600000075</v>
      </c>
      <c r="F272" s="190"/>
      <c r="G272" s="181"/>
      <c r="H272" s="190"/>
      <c r="I272" s="190"/>
      <c r="J272" s="190"/>
      <c r="K272" s="182"/>
      <c r="L272" s="190"/>
      <c r="M272" s="190"/>
      <c r="N272" s="190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25">
      <c r="A273" s="175"/>
      <c r="B273" s="170"/>
      <c r="C273" s="329"/>
      <c r="D273" s="287"/>
      <c r="E273" s="176">
        <f t="shared" si="4"/>
        <v>2421552.0600000075</v>
      </c>
      <c r="F273" s="185"/>
      <c r="G273" s="185"/>
      <c r="H273" s="185"/>
      <c r="I273" s="185"/>
      <c r="J273" s="185"/>
      <c r="K273" s="185"/>
      <c r="L273" s="185"/>
      <c r="M273" s="190"/>
      <c r="N273" s="190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25">
      <c r="A274" s="175"/>
      <c r="B274" s="170"/>
      <c r="C274" s="287"/>
      <c r="D274" s="329"/>
      <c r="E274" s="176">
        <f t="shared" si="4"/>
        <v>2421552.0600000075</v>
      </c>
      <c r="F274" s="185"/>
      <c r="G274" s="185"/>
      <c r="H274" s="267"/>
      <c r="I274" s="185"/>
      <c r="J274" s="268"/>
      <c r="K274" s="268"/>
      <c r="L274" s="185"/>
      <c r="M274" s="190"/>
      <c r="N274" s="190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25">
      <c r="A275" s="175"/>
      <c r="B275" s="170"/>
      <c r="C275" s="287"/>
      <c r="D275" s="329"/>
      <c r="E275" s="176">
        <f t="shared" si="4"/>
        <v>2421552.0600000075</v>
      </c>
      <c r="F275" s="185"/>
      <c r="G275" s="185"/>
      <c r="H275" s="185"/>
      <c r="I275" s="251"/>
      <c r="J275" s="269"/>
      <c r="K275" s="185"/>
      <c r="L275" s="185"/>
      <c r="M275" s="185"/>
      <c r="N275" s="190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25">
      <c r="A276" s="175"/>
      <c r="B276" s="170"/>
      <c r="C276" s="329"/>
      <c r="D276" s="287"/>
      <c r="E276" s="176">
        <f t="shared" si="4"/>
        <v>2421552.0600000075</v>
      </c>
      <c r="F276" s="185"/>
      <c r="G276" s="185"/>
      <c r="H276" s="185"/>
      <c r="I276" s="185"/>
      <c r="J276" s="185"/>
      <c r="K276" s="185"/>
      <c r="L276" s="185"/>
      <c r="M276" s="185"/>
      <c r="N276" s="190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25">
      <c r="A277" s="175"/>
      <c r="B277" s="170"/>
      <c r="C277" s="287"/>
      <c r="D277" s="329"/>
      <c r="E277" s="176">
        <f t="shared" si="4"/>
        <v>2421552.0600000075</v>
      </c>
      <c r="F277" s="253"/>
      <c r="G277" s="185"/>
      <c r="H277" s="80"/>
      <c r="I277" s="185"/>
      <c r="J277" s="211"/>
      <c r="K277" s="83"/>
      <c r="L277" s="245"/>
      <c r="M277" s="183"/>
      <c r="N277" s="84"/>
      <c r="O277" s="114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25">
      <c r="A278" s="175"/>
      <c r="B278" s="170"/>
      <c r="C278" s="287"/>
      <c r="D278" s="329"/>
      <c r="E278" s="176">
        <f t="shared" si="4"/>
        <v>2421552.0600000075</v>
      </c>
      <c r="F278" s="244"/>
      <c r="G278" s="181"/>
      <c r="H278" s="182"/>
      <c r="I278" s="185"/>
      <c r="J278" s="185"/>
      <c r="K278" s="185"/>
      <c r="L278" s="185"/>
      <c r="M278" s="190"/>
      <c r="N278" s="190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25">
      <c r="A279" s="175"/>
      <c r="B279" s="170"/>
      <c r="C279" s="329"/>
      <c r="D279" s="330"/>
      <c r="E279" s="176">
        <f t="shared" si="4"/>
        <v>2421552.0600000075</v>
      </c>
      <c r="F279" s="75"/>
      <c r="G279" s="117"/>
      <c r="H279" s="196"/>
      <c r="I279" s="185"/>
      <c r="J279" s="185"/>
      <c r="K279" s="185"/>
      <c r="L279" s="185"/>
      <c r="M279" s="190"/>
      <c r="N279" s="190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25">
      <c r="A280" s="175"/>
      <c r="B280" s="170"/>
      <c r="C280" s="287"/>
      <c r="D280" s="329"/>
      <c r="E280" s="176">
        <f t="shared" si="4"/>
        <v>2421552.0600000075</v>
      </c>
      <c r="F280" s="185"/>
      <c r="G280" s="185"/>
      <c r="H280" s="185"/>
      <c r="I280" s="185"/>
      <c r="J280" s="185"/>
      <c r="K280" s="185"/>
      <c r="L280" s="185"/>
      <c r="M280" s="190"/>
      <c r="N280" s="190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25">
      <c r="A281" s="175"/>
      <c r="B281" s="170"/>
      <c r="C281" s="287"/>
      <c r="D281" s="329"/>
      <c r="E281" s="176">
        <f t="shared" si="4"/>
        <v>2421552.0600000075</v>
      </c>
      <c r="F281" s="185"/>
      <c r="G281" s="185"/>
      <c r="H281" s="185"/>
      <c r="I281" s="185"/>
      <c r="J281" s="185"/>
      <c r="K281" s="185"/>
      <c r="L281" s="185"/>
      <c r="M281" s="190"/>
      <c r="N281" s="190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25">
      <c r="A282" s="175"/>
      <c r="B282" s="170"/>
      <c r="C282" s="329"/>
      <c r="D282" s="287"/>
      <c r="E282" s="176">
        <f t="shared" si="4"/>
        <v>2421552.0600000075</v>
      </c>
      <c r="F282" s="185"/>
      <c r="G282" s="185"/>
      <c r="H282" s="185"/>
      <c r="I282" s="185"/>
      <c r="J282" s="185"/>
      <c r="K282" s="185"/>
      <c r="L282" s="185"/>
      <c r="M282" s="190"/>
      <c r="N282" s="190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25">
      <c r="A283" s="175"/>
      <c r="B283" s="170"/>
      <c r="C283" s="287"/>
      <c r="D283" s="329"/>
      <c r="E283" s="176">
        <f t="shared" si="4"/>
        <v>2421552.0600000075</v>
      </c>
      <c r="F283" s="185"/>
      <c r="G283" s="185"/>
      <c r="H283" s="190"/>
      <c r="I283" s="185"/>
      <c r="J283" s="185"/>
      <c r="K283" s="185"/>
      <c r="L283" s="185"/>
      <c r="M283" s="190"/>
      <c r="N283" s="190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25">
      <c r="A284" s="175"/>
      <c r="B284" s="170"/>
      <c r="C284" s="210"/>
      <c r="D284" s="170"/>
      <c r="E284" s="176">
        <f t="shared" si="4"/>
        <v>2421552.0600000075</v>
      </c>
      <c r="F284" s="185"/>
      <c r="G284" s="185"/>
      <c r="H284" s="185"/>
      <c r="I284" s="185"/>
      <c r="J284" s="185"/>
      <c r="K284" s="185"/>
      <c r="L284" s="185"/>
      <c r="M284" s="190"/>
      <c r="N284" s="190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25">
      <c r="A285" s="175"/>
      <c r="B285" s="170"/>
      <c r="C285" s="170"/>
      <c r="D285" s="210"/>
      <c r="E285" s="176">
        <f t="shared" si="4"/>
        <v>2421552.0600000075</v>
      </c>
      <c r="F285" s="185"/>
      <c r="G285" s="185"/>
      <c r="H285" s="185"/>
      <c r="I285" s="185"/>
      <c r="J285" s="185"/>
      <c r="K285" s="185"/>
      <c r="L285" s="185"/>
      <c r="M285" s="190"/>
      <c r="N285" s="190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25">
      <c r="A286" s="175"/>
      <c r="B286" s="170"/>
      <c r="C286" s="210"/>
      <c r="D286" s="170"/>
      <c r="E286" s="176">
        <f t="shared" si="4"/>
        <v>2421552.0600000075</v>
      </c>
      <c r="F286" s="237"/>
      <c r="G286" s="181"/>
      <c r="H286" s="182"/>
      <c r="I286" s="185"/>
      <c r="J286" s="185"/>
      <c r="K286" s="185"/>
      <c r="L286" s="185"/>
      <c r="M286" s="190"/>
      <c r="N286" s="190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25">
      <c r="A287" s="175"/>
      <c r="B287" s="170"/>
      <c r="C287" s="210"/>
      <c r="D287" s="170"/>
      <c r="E287" s="176">
        <f t="shared" si="4"/>
        <v>2421552.0600000075</v>
      </c>
      <c r="F287" s="180"/>
      <c r="G287" s="181"/>
      <c r="H287" s="182"/>
      <c r="I287" s="185"/>
      <c r="J287" s="185"/>
      <c r="K287" s="185"/>
      <c r="L287" s="185"/>
      <c r="M287" s="190"/>
      <c r="N287" s="190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25">
      <c r="A288" s="175"/>
      <c r="B288" s="170"/>
      <c r="C288" s="170"/>
      <c r="D288" s="210"/>
      <c r="E288" s="176">
        <f t="shared" si="4"/>
        <v>2421552.0600000075</v>
      </c>
      <c r="F288" s="229"/>
      <c r="G288" s="247"/>
      <c r="H288" s="184"/>
      <c r="I288" s="185"/>
      <c r="J288" s="185"/>
      <c r="K288" s="185"/>
      <c r="L288" s="185"/>
      <c r="M288" s="190"/>
      <c r="N288" s="190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25">
      <c r="A289" s="175"/>
      <c r="B289" s="170"/>
      <c r="C289" s="210"/>
      <c r="D289" s="170"/>
      <c r="E289" s="176">
        <f t="shared" si="4"/>
        <v>2421552.0600000075</v>
      </c>
      <c r="F289" s="185"/>
      <c r="G289" s="185"/>
      <c r="H289" s="185"/>
      <c r="I289" s="185"/>
      <c r="J289" s="185"/>
      <c r="K289" s="185"/>
      <c r="L289" s="185"/>
      <c r="M289" s="190"/>
      <c r="N289" s="190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s="118" customFormat="1" ht="12.75" customHeight="1" x14ac:dyDescent="0.25">
      <c r="A290" s="175"/>
      <c r="B290" s="170"/>
      <c r="C290" s="210"/>
      <c r="D290" s="170"/>
      <c r="E290" s="176">
        <f t="shared" si="4"/>
        <v>2421552.0600000075</v>
      </c>
      <c r="F290" s="270"/>
      <c r="G290" s="270"/>
      <c r="H290" s="270"/>
      <c r="I290" s="185"/>
      <c r="J290" s="185"/>
      <c r="K290" s="185"/>
      <c r="L290" s="185"/>
      <c r="M290" s="270"/>
      <c r="N290" s="270"/>
    </row>
    <row r="291" spans="1:26" s="118" customFormat="1" ht="12.75" customHeight="1" x14ac:dyDescent="0.25">
      <c r="A291" s="175"/>
      <c r="B291" s="170"/>
      <c r="C291" s="170"/>
      <c r="D291" s="210"/>
      <c r="E291" s="176">
        <f t="shared" si="4"/>
        <v>2421552.0600000075</v>
      </c>
      <c r="F291" s="270"/>
      <c r="G291" s="270"/>
      <c r="H291" s="270"/>
      <c r="I291" s="185"/>
      <c r="J291" s="185"/>
      <c r="K291" s="185"/>
      <c r="L291" s="185"/>
      <c r="M291" s="270"/>
      <c r="N291" s="270"/>
    </row>
    <row r="292" spans="1:26" s="118" customFormat="1" ht="12.75" customHeight="1" x14ac:dyDescent="0.25">
      <c r="A292" s="175"/>
      <c r="B292" s="170"/>
      <c r="C292" s="210"/>
      <c r="D292" s="170"/>
      <c r="E292" s="176">
        <f t="shared" si="4"/>
        <v>2421552.0600000075</v>
      </c>
      <c r="F292" s="185"/>
      <c r="G292" s="185"/>
      <c r="H292" s="185"/>
      <c r="I292" s="185"/>
      <c r="J292" s="185"/>
      <c r="K292" s="185"/>
      <c r="L292" s="185"/>
      <c r="M292" s="270"/>
      <c r="N292" s="270"/>
    </row>
    <row r="293" spans="1:26" s="118" customFormat="1" ht="12" customHeight="1" x14ac:dyDescent="0.25">
      <c r="A293" s="175"/>
      <c r="B293" s="170"/>
      <c r="C293" s="210"/>
      <c r="D293" s="170"/>
      <c r="E293" s="176">
        <f t="shared" si="4"/>
        <v>2421552.0600000075</v>
      </c>
      <c r="F293" s="204"/>
      <c r="G293" s="181"/>
      <c r="H293" s="205"/>
      <c r="I293" s="181"/>
      <c r="J293" s="206"/>
      <c r="K293" s="185"/>
      <c r="L293" s="185"/>
      <c r="M293" s="270"/>
      <c r="N293" s="270"/>
    </row>
    <row r="294" spans="1:26" s="118" customFormat="1" ht="12.75" customHeight="1" x14ac:dyDescent="0.25">
      <c r="A294" s="175"/>
      <c r="B294" s="170"/>
      <c r="C294" s="170"/>
      <c r="D294" s="210"/>
      <c r="E294" s="176">
        <f t="shared" si="4"/>
        <v>2421552.0600000075</v>
      </c>
      <c r="F294" s="185"/>
      <c r="G294" s="185"/>
      <c r="H294" s="185"/>
      <c r="I294" s="185"/>
      <c r="J294" s="185"/>
      <c r="K294" s="185"/>
      <c r="L294" s="185"/>
      <c r="M294" s="270"/>
      <c r="N294" s="270"/>
    </row>
    <row r="295" spans="1:26" s="118" customFormat="1" ht="12.75" customHeight="1" x14ac:dyDescent="0.25">
      <c r="A295" s="175"/>
      <c r="B295" s="170"/>
      <c r="C295" s="210"/>
      <c r="D295" s="170"/>
      <c r="E295" s="176">
        <f t="shared" si="4"/>
        <v>2421552.0600000075</v>
      </c>
      <c r="F295" s="271"/>
      <c r="G295" s="270"/>
      <c r="H295" s="80"/>
      <c r="I295" s="185"/>
      <c r="J295" s="185"/>
      <c r="K295" s="185"/>
      <c r="L295" s="185"/>
      <c r="M295" s="270"/>
      <c r="N295" s="270"/>
    </row>
    <row r="296" spans="1:26" s="118" customFormat="1" ht="12.75" customHeight="1" x14ac:dyDescent="0.25">
      <c r="A296" s="175"/>
      <c r="B296" s="170"/>
      <c r="C296" s="210"/>
      <c r="D296" s="170"/>
      <c r="E296" s="176">
        <f t="shared" si="4"/>
        <v>2421552.0600000075</v>
      </c>
      <c r="F296" s="272"/>
      <c r="G296" s="270"/>
      <c r="H296" s="80"/>
      <c r="I296" s="211"/>
      <c r="J296" s="83"/>
      <c r="K296" s="245"/>
      <c r="L296" s="183"/>
      <c r="M296" s="84"/>
      <c r="N296" s="246"/>
    </row>
    <row r="297" spans="1:26" s="118" customFormat="1" ht="12.75" customHeight="1" x14ac:dyDescent="0.25">
      <c r="A297" s="175"/>
      <c r="B297" s="170"/>
      <c r="C297" s="170"/>
      <c r="D297" s="210"/>
      <c r="E297" s="176">
        <f t="shared" si="4"/>
        <v>2421552.0600000075</v>
      </c>
      <c r="F297" s="229"/>
      <c r="G297" s="239"/>
      <c r="H297" s="196"/>
      <c r="I297" s="185"/>
      <c r="J297" s="185"/>
      <c r="K297" s="185"/>
      <c r="L297" s="185"/>
      <c r="M297" s="270"/>
      <c r="N297" s="270"/>
    </row>
    <row r="298" spans="1:26" s="118" customFormat="1" ht="12.75" customHeight="1" x14ac:dyDescent="0.25">
      <c r="A298" s="175"/>
      <c r="B298" s="170"/>
      <c r="C298" s="210"/>
      <c r="D298" s="170"/>
      <c r="E298" s="176">
        <f t="shared" si="4"/>
        <v>2421552.0600000075</v>
      </c>
      <c r="F298" s="185"/>
      <c r="G298" s="185"/>
      <c r="H298" s="185"/>
      <c r="I298" s="185"/>
      <c r="J298" s="185"/>
      <c r="K298" s="185"/>
      <c r="L298" s="185"/>
      <c r="M298" s="270"/>
      <c r="N298" s="270"/>
    </row>
    <row r="299" spans="1:26" s="118" customFormat="1" ht="12.75" customHeight="1" x14ac:dyDescent="0.25">
      <c r="A299" s="175"/>
      <c r="B299" s="170"/>
      <c r="C299" s="210"/>
      <c r="D299" s="170"/>
      <c r="E299" s="176">
        <f t="shared" si="4"/>
        <v>2421552.0600000075</v>
      </c>
      <c r="F299" s="270"/>
      <c r="G299" s="270"/>
      <c r="H299" s="270"/>
      <c r="I299" s="185"/>
      <c r="J299" s="185"/>
      <c r="K299" s="185"/>
      <c r="L299" s="185"/>
      <c r="M299" s="270"/>
      <c r="N299" s="270"/>
    </row>
    <row r="300" spans="1:26" s="118" customFormat="1" ht="12.75" customHeight="1" x14ac:dyDescent="0.25">
      <c r="A300" s="175"/>
      <c r="B300" s="170"/>
      <c r="C300" s="170"/>
      <c r="D300" s="210"/>
      <c r="E300" s="176">
        <f t="shared" si="4"/>
        <v>2421552.0600000075</v>
      </c>
      <c r="F300" s="270"/>
      <c r="G300" s="270"/>
      <c r="H300" s="270"/>
      <c r="I300" s="181"/>
      <c r="J300" s="49"/>
      <c r="K300" s="233"/>
      <c r="L300" s="185"/>
      <c r="M300" s="270"/>
      <c r="N300" s="270"/>
    </row>
    <row r="301" spans="1:26" s="118" customFormat="1" ht="12.75" customHeight="1" x14ac:dyDescent="0.25">
      <c r="A301" s="175"/>
      <c r="B301" s="170"/>
      <c r="C301" s="210"/>
      <c r="D301" s="170"/>
      <c r="E301" s="176">
        <f t="shared" si="4"/>
        <v>2421552.0600000075</v>
      </c>
      <c r="F301" s="185"/>
      <c r="G301" s="185"/>
      <c r="H301" s="185"/>
      <c r="I301" s="185"/>
      <c r="J301" s="185"/>
      <c r="K301" s="185"/>
      <c r="L301" s="185"/>
      <c r="M301" s="270"/>
      <c r="N301" s="270"/>
    </row>
    <row r="302" spans="1:26" s="118" customFormat="1" ht="12.75" customHeight="1" x14ac:dyDescent="0.25">
      <c r="A302" s="175"/>
      <c r="B302" s="170"/>
      <c r="C302" s="210"/>
      <c r="D302" s="170"/>
      <c r="E302" s="176">
        <f t="shared" si="4"/>
        <v>2421552.0600000075</v>
      </c>
      <c r="F302" s="180"/>
      <c r="G302" s="181"/>
      <c r="H302" s="182"/>
      <c r="I302" s="185"/>
      <c r="J302" s="185"/>
      <c r="K302" s="185"/>
      <c r="L302" s="185"/>
      <c r="M302" s="270"/>
      <c r="N302" s="270"/>
    </row>
    <row r="303" spans="1:26" s="118" customFormat="1" ht="12.75" customHeight="1" x14ac:dyDescent="0.25">
      <c r="A303" s="175"/>
      <c r="B303" s="170"/>
      <c r="C303" s="170"/>
      <c r="D303" s="210"/>
      <c r="E303" s="176">
        <f t="shared" si="4"/>
        <v>2421552.0600000075</v>
      </c>
      <c r="F303" s="229"/>
      <c r="G303" s="247"/>
      <c r="H303" s="184"/>
      <c r="I303" s="185"/>
      <c r="J303" s="185"/>
      <c r="K303" s="185"/>
      <c r="L303" s="185"/>
      <c r="M303" s="270"/>
      <c r="N303" s="270"/>
    </row>
    <row r="304" spans="1:26" s="118" customFormat="1" ht="12.75" customHeight="1" x14ac:dyDescent="0.25">
      <c r="A304" s="175"/>
      <c r="B304" s="170"/>
      <c r="C304" s="210"/>
      <c r="D304" s="170"/>
      <c r="E304" s="176">
        <f t="shared" si="4"/>
        <v>2421552.0600000075</v>
      </c>
      <c r="F304" s="253"/>
      <c r="G304" s="251"/>
      <c r="H304" s="185"/>
      <c r="I304" s="185"/>
      <c r="J304" s="185"/>
      <c r="K304" s="185"/>
      <c r="L304" s="185"/>
      <c r="M304" s="270"/>
      <c r="N304" s="270"/>
    </row>
    <row r="305" spans="1:26" s="118" customFormat="1" ht="12.75" customHeight="1" x14ac:dyDescent="0.25">
      <c r="A305" s="175"/>
      <c r="B305" s="170"/>
      <c r="C305" s="210"/>
      <c r="D305" s="170"/>
      <c r="E305" s="176">
        <f t="shared" si="4"/>
        <v>2421552.0600000075</v>
      </c>
      <c r="F305" s="273"/>
      <c r="G305" s="251"/>
      <c r="H305" s="182"/>
      <c r="I305" s="185"/>
      <c r="J305" s="185"/>
      <c r="K305" s="185"/>
      <c r="L305" s="185"/>
      <c r="M305" s="270"/>
      <c r="N305" s="270"/>
    </row>
    <row r="306" spans="1:26" s="118" customFormat="1" ht="12.75" customHeight="1" x14ac:dyDescent="0.25">
      <c r="A306" s="175"/>
      <c r="B306" s="170"/>
      <c r="C306" s="170"/>
      <c r="D306" s="210"/>
      <c r="E306" s="176">
        <f t="shared" si="4"/>
        <v>2421552.0600000075</v>
      </c>
      <c r="F306" s="211"/>
      <c r="G306" s="83"/>
      <c r="H306" s="212"/>
      <c r="I306" s="183"/>
      <c r="J306" s="84"/>
      <c r="K306" s="248"/>
      <c r="L306" s="185"/>
      <c r="M306" s="270"/>
      <c r="N306" s="270"/>
    </row>
    <row r="307" spans="1:26" s="118" customFormat="1" ht="12.75" customHeight="1" x14ac:dyDescent="0.25">
      <c r="A307" s="175"/>
      <c r="B307" s="170"/>
      <c r="C307" s="210"/>
      <c r="D307" s="170"/>
      <c r="E307" s="176">
        <f t="shared" si="4"/>
        <v>2421552.0600000075</v>
      </c>
      <c r="F307" s="270"/>
      <c r="G307" s="270"/>
      <c r="H307" s="270"/>
      <c r="I307" s="185"/>
      <c r="J307" s="185"/>
      <c r="K307" s="185"/>
      <c r="L307" s="185"/>
      <c r="M307" s="270"/>
      <c r="N307" s="270"/>
    </row>
    <row r="308" spans="1:26" s="118" customFormat="1" ht="12.75" customHeight="1" x14ac:dyDescent="0.25">
      <c r="A308" s="175"/>
      <c r="B308" s="170"/>
      <c r="C308" s="210"/>
      <c r="D308" s="170"/>
      <c r="E308" s="176">
        <f t="shared" si="4"/>
        <v>2421552.0600000075</v>
      </c>
      <c r="F308" s="204"/>
      <c r="G308" s="181"/>
      <c r="H308" s="205"/>
      <c r="I308" s="181"/>
      <c r="J308" s="206"/>
      <c r="K308" s="246"/>
      <c r="L308" s="185"/>
      <c r="M308" s="270"/>
      <c r="N308" s="270"/>
    </row>
    <row r="309" spans="1:26" s="118" customFormat="1" ht="12.75" customHeight="1" x14ac:dyDescent="0.25">
      <c r="A309" s="175"/>
      <c r="B309" s="170"/>
      <c r="C309" s="170"/>
      <c r="D309" s="210"/>
      <c r="E309" s="176">
        <f t="shared" si="4"/>
        <v>2421552.0600000075</v>
      </c>
      <c r="F309" s="244"/>
      <c r="G309" s="181"/>
      <c r="H309" s="182"/>
      <c r="I309" s="185"/>
      <c r="J309" s="185"/>
      <c r="K309" s="185"/>
      <c r="L309" s="185"/>
      <c r="M309" s="270"/>
      <c r="N309" s="270"/>
    </row>
    <row r="310" spans="1:26" ht="12.75" customHeight="1" x14ac:dyDescent="0.25">
      <c r="A310" s="175"/>
      <c r="B310" s="170"/>
      <c r="C310" s="210"/>
      <c r="D310" s="170"/>
      <c r="E310" s="176">
        <f t="shared" si="4"/>
        <v>2421552.0600000075</v>
      </c>
      <c r="F310" s="229"/>
      <c r="G310" s="239"/>
      <c r="H310" s="196"/>
      <c r="I310" s="185"/>
      <c r="J310" s="185"/>
      <c r="K310" s="185"/>
      <c r="L310" s="185"/>
      <c r="M310" s="190"/>
      <c r="N310" s="190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25">
      <c r="A311" s="175"/>
      <c r="B311" s="170"/>
      <c r="C311" s="210"/>
      <c r="D311" s="170"/>
      <c r="E311" s="176">
        <f t="shared" si="4"/>
        <v>2421552.0600000075</v>
      </c>
      <c r="F311" s="185"/>
      <c r="G311" s="185"/>
      <c r="H311" s="185"/>
      <c r="I311" s="185"/>
      <c r="J311" s="185"/>
      <c r="K311" s="185"/>
      <c r="L311" s="185"/>
      <c r="M311" s="190"/>
      <c r="N311" s="190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25">
      <c r="A312" s="175"/>
      <c r="B312" s="170"/>
      <c r="C312" s="170"/>
      <c r="D312" s="210"/>
      <c r="E312" s="176">
        <f t="shared" si="4"/>
        <v>2421552.0600000075</v>
      </c>
      <c r="F312" s="185"/>
      <c r="G312" s="185"/>
      <c r="H312" s="185"/>
      <c r="I312" s="185"/>
      <c r="J312" s="185"/>
      <c r="K312" s="185"/>
      <c r="L312" s="185"/>
      <c r="M312" s="190"/>
      <c r="N312" s="190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25">
      <c r="A313" s="175"/>
      <c r="B313" s="170"/>
      <c r="C313" s="210"/>
      <c r="D313" s="170"/>
      <c r="E313" s="176">
        <f t="shared" si="4"/>
        <v>2421552.0600000075</v>
      </c>
      <c r="F313" s="185"/>
      <c r="G313" s="185"/>
      <c r="H313" s="185"/>
      <c r="I313" s="185"/>
      <c r="J313" s="185"/>
      <c r="K313" s="185"/>
      <c r="L313" s="185"/>
      <c r="M313" s="190"/>
      <c r="N313" s="190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25">
      <c r="A314" s="175"/>
      <c r="B314" s="170"/>
      <c r="C314" s="210"/>
      <c r="D314" s="170"/>
      <c r="E314" s="176">
        <f t="shared" si="4"/>
        <v>2421552.0600000075</v>
      </c>
      <c r="F314" s="180"/>
      <c r="G314" s="181"/>
      <c r="H314" s="182"/>
      <c r="I314" s="185"/>
      <c r="J314" s="185"/>
      <c r="K314" s="185"/>
      <c r="L314" s="185"/>
      <c r="M314" s="190"/>
      <c r="N314" s="190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3.5" customHeight="1" x14ac:dyDescent="0.25">
      <c r="A315" s="175"/>
      <c r="B315" s="170"/>
      <c r="C315" s="170"/>
      <c r="D315" s="210"/>
      <c r="E315" s="176">
        <f t="shared" si="4"/>
        <v>2421552.0600000075</v>
      </c>
      <c r="F315" s="229"/>
      <c r="G315" s="247"/>
      <c r="H315" s="184"/>
      <c r="I315" s="181"/>
      <c r="J315" s="49"/>
      <c r="K315" s="233"/>
      <c r="L315" s="185"/>
      <c r="M315" s="190"/>
      <c r="N315" s="190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25">
      <c r="A316" s="175"/>
      <c r="B316" s="170"/>
      <c r="C316" s="210"/>
      <c r="D316" s="170"/>
      <c r="E316" s="176">
        <f t="shared" si="4"/>
        <v>2421552.0600000075</v>
      </c>
      <c r="F316" s="229"/>
      <c r="G316" s="239"/>
      <c r="H316" s="243"/>
      <c r="I316" s="185"/>
      <c r="J316" s="185"/>
      <c r="K316" s="185"/>
      <c r="L316" s="185"/>
      <c r="M316" s="190"/>
      <c r="N316" s="190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25">
      <c r="A317" s="175"/>
      <c r="B317" s="170"/>
      <c r="C317" s="210"/>
      <c r="D317" s="170"/>
      <c r="E317" s="176">
        <f t="shared" si="4"/>
        <v>2421552.0600000075</v>
      </c>
      <c r="F317" s="185"/>
      <c r="G317" s="185"/>
      <c r="H317" s="185"/>
      <c r="I317" s="185"/>
      <c r="J317" s="185"/>
      <c r="K317" s="185"/>
      <c r="L317" s="185"/>
      <c r="M317" s="190"/>
      <c r="N317" s="190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25">
      <c r="A318" s="175"/>
      <c r="B318" s="170"/>
      <c r="C318" s="170"/>
      <c r="D318" s="210"/>
      <c r="E318" s="176">
        <f t="shared" si="4"/>
        <v>2421552.0600000075</v>
      </c>
      <c r="F318" s="185"/>
      <c r="G318" s="185"/>
      <c r="H318" s="185"/>
      <c r="I318" s="185"/>
      <c r="J318" s="185"/>
      <c r="K318" s="185"/>
      <c r="L318" s="185"/>
      <c r="M318" s="190"/>
      <c r="N318" s="190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25">
      <c r="A319" s="175"/>
      <c r="B319" s="170"/>
      <c r="C319" s="210"/>
      <c r="D319" s="170"/>
      <c r="E319" s="176">
        <f t="shared" si="4"/>
        <v>2421552.0600000075</v>
      </c>
      <c r="F319" s="80"/>
      <c r="G319" s="253"/>
      <c r="H319" s="185"/>
      <c r="I319" s="185"/>
      <c r="J319" s="185"/>
      <c r="K319" s="185"/>
      <c r="L319" s="185"/>
      <c r="M319" s="190"/>
      <c r="N319" s="190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25">
      <c r="A320" s="175"/>
      <c r="B320" s="170"/>
      <c r="C320" s="210"/>
      <c r="D320" s="170"/>
      <c r="E320" s="176">
        <f t="shared" si="4"/>
        <v>2421552.0600000075</v>
      </c>
      <c r="F320" s="204"/>
      <c r="G320" s="181"/>
      <c r="H320" s="205"/>
      <c r="I320" s="181"/>
      <c r="J320" s="206"/>
      <c r="K320" s="185"/>
      <c r="L320" s="185"/>
      <c r="M320" s="190"/>
      <c r="N320" s="190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25">
      <c r="A321" s="175"/>
      <c r="B321" s="170"/>
      <c r="C321" s="170"/>
      <c r="D321" s="210"/>
      <c r="E321" s="176">
        <f t="shared" si="4"/>
        <v>2421552.0600000075</v>
      </c>
      <c r="F321" s="211"/>
      <c r="G321" s="83"/>
      <c r="H321" s="245"/>
      <c r="I321" s="183"/>
      <c r="J321" s="84"/>
      <c r="K321" s="246"/>
      <c r="L321" s="185"/>
      <c r="M321" s="190"/>
      <c r="N321" s="190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25">
      <c r="A322" s="175"/>
      <c r="B322" s="170"/>
      <c r="C322" s="210"/>
      <c r="D322" s="170"/>
      <c r="E322" s="176">
        <f t="shared" si="4"/>
        <v>2421552.0600000075</v>
      </c>
      <c r="F322" s="211"/>
      <c r="G322" s="83"/>
      <c r="H322" s="212"/>
      <c r="I322" s="183"/>
      <c r="J322" s="84"/>
      <c r="K322" s="248"/>
      <c r="L322" s="185"/>
      <c r="M322" s="190"/>
      <c r="N322" s="190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25">
      <c r="A323" s="175"/>
      <c r="B323" s="170"/>
      <c r="C323" s="210"/>
      <c r="D323" s="170"/>
      <c r="E323" s="176">
        <f t="shared" si="4"/>
        <v>2421552.0600000075</v>
      </c>
      <c r="F323" s="211"/>
      <c r="G323" s="83"/>
      <c r="H323" s="212"/>
      <c r="I323" s="183"/>
      <c r="J323" s="84"/>
      <c r="K323" s="248"/>
      <c r="L323" s="185"/>
      <c r="M323" s="190"/>
      <c r="N323" s="190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25">
      <c r="A324" s="175"/>
      <c r="B324" s="170"/>
      <c r="C324" s="170"/>
      <c r="D324" s="210"/>
      <c r="E324" s="176">
        <f t="shared" si="4"/>
        <v>2421552.0600000075</v>
      </c>
      <c r="F324" s="185"/>
      <c r="G324" s="185"/>
      <c r="H324" s="185"/>
      <c r="I324" s="185"/>
      <c r="J324" s="185"/>
      <c r="K324" s="185"/>
      <c r="L324" s="185"/>
      <c r="M324" s="190"/>
      <c r="N324" s="190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25">
      <c r="A325" s="175"/>
      <c r="B325" s="170"/>
      <c r="C325" s="210"/>
      <c r="D325" s="170"/>
      <c r="E325" s="176">
        <f t="shared" si="4"/>
        <v>2421552.0600000075</v>
      </c>
      <c r="F325" s="85"/>
      <c r="G325" s="185"/>
      <c r="H325" s="185"/>
      <c r="I325" s="185"/>
      <c r="J325" s="185"/>
      <c r="K325" s="185"/>
      <c r="L325" s="185"/>
      <c r="M325" s="190"/>
      <c r="N325" s="190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25">
      <c r="A326" s="175"/>
      <c r="B326" s="170"/>
      <c r="C326" s="210"/>
      <c r="D326" s="170"/>
      <c r="E326" s="176">
        <f t="shared" si="4"/>
        <v>2421552.0600000075</v>
      </c>
      <c r="F326" s="185"/>
      <c r="G326" s="185"/>
      <c r="H326" s="185"/>
      <c r="I326" s="185"/>
      <c r="J326" s="185"/>
      <c r="K326" s="185"/>
      <c r="L326" s="185"/>
      <c r="M326" s="190"/>
      <c r="N326" s="190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25">
      <c r="A327" s="175"/>
      <c r="B327" s="170"/>
      <c r="C327" s="170"/>
      <c r="D327" s="210"/>
      <c r="E327" s="176">
        <f t="shared" si="4"/>
        <v>2421552.0600000075</v>
      </c>
      <c r="F327" s="185"/>
      <c r="G327" s="185"/>
      <c r="H327" s="185"/>
      <c r="I327" s="181"/>
      <c r="J327" s="49"/>
      <c r="K327" s="233"/>
      <c r="L327" s="185"/>
      <c r="M327" s="190"/>
      <c r="N327" s="190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25">
      <c r="A328" s="175"/>
      <c r="B328" s="170"/>
      <c r="C328" s="210"/>
      <c r="D328" s="170"/>
      <c r="E328" s="176">
        <f t="shared" ref="E328:E391" si="5">E327-C328+D328</f>
        <v>2421552.0600000075</v>
      </c>
      <c r="F328" s="229"/>
      <c r="G328" s="239"/>
      <c r="H328" s="243"/>
      <c r="I328" s="185"/>
      <c r="J328" s="185"/>
      <c r="K328" s="185"/>
      <c r="L328" s="185"/>
      <c r="M328" s="190"/>
      <c r="N328" s="190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x14ac:dyDescent="0.25">
      <c r="A329" s="175"/>
      <c r="B329" s="170"/>
      <c r="C329" s="210"/>
      <c r="D329" s="170"/>
      <c r="E329" s="176">
        <f t="shared" si="5"/>
        <v>2421552.0600000075</v>
      </c>
      <c r="F329" s="180"/>
      <c r="G329" s="181"/>
      <c r="H329" s="182"/>
      <c r="I329" s="185"/>
      <c r="J329" s="185"/>
      <c r="K329" s="185"/>
      <c r="L329" s="185"/>
      <c r="M329" s="190"/>
      <c r="N329" s="190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25">
      <c r="A330" s="175"/>
      <c r="B330" s="170"/>
      <c r="C330" s="170"/>
      <c r="D330" s="210"/>
      <c r="E330" s="176">
        <f t="shared" si="5"/>
        <v>2421552.0600000075</v>
      </c>
      <c r="F330" s="229"/>
      <c r="G330" s="247"/>
      <c r="H330" s="184"/>
      <c r="I330" s="185"/>
      <c r="J330" s="185"/>
      <c r="K330" s="185"/>
      <c r="L330" s="185"/>
      <c r="M330" s="190"/>
      <c r="N330" s="190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25">
      <c r="A331" s="175"/>
      <c r="B331" s="170"/>
      <c r="C331" s="210"/>
      <c r="D331" s="170"/>
      <c r="E331" s="176">
        <f t="shared" si="5"/>
        <v>2421552.0600000075</v>
      </c>
      <c r="F331" s="229"/>
      <c r="G331" s="239"/>
      <c r="H331" s="196"/>
      <c r="I331" s="185"/>
      <c r="J331" s="185"/>
      <c r="K331" s="185"/>
      <c r="L331" s="185"/>
      <c r="M331" s="190"/>
      <c r="N331" s="190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25">
      <c r="A332" s="175"/>
      <c r="B332" s="170"/>
      <c r="C332" s="210"/>
      <c r="D332" s="170"/>
      <c r="E332" s="176">
        <f t="shared" si="5"/>
        <v>2421552.0600000075</v>
      </c>
      <c r="F332" s="185"/>
      <c r="G332" s="185"/>
      <c r="H332" s="185"/>
      <c r="I332" s="185"/>
      <c r="J332" s="185"/>
      <c r="K332" s="185"/>
      <c r="L332" s="185"/>
      <c r="M332" s="190"/>
      <c r="N332" s="190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25">
      <c r="A333" s="175"/>
      <c r="B333" s="170"/>
      <c r="C333" s="170"/>
      <c r="D333" s="210"/>
      <c r="E333" s="176">
        <f t="shared" si="5"/>
        <v>2421552.0600000075</v>
      </c>
      <c r="F333" s="211"/>
      <c r="G333" s="83"/>
      <c r="H333" s="245"/>
      <c r="I333" s="183"/>
      <c r="J333" s="84"/>
      <c r="K333" s="246"/>
      <c r="L333" s="185"/>
      <c r="M333" s="190"/>
      <c r="N333" s="190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25">
      <c r="A334" s="175"/>
      <c r="B334" s="170"/>
      <c r="C334" s="210"/>
      <c r="D334" s="170"/>
      <c r="E334" s="176">
        <f t="shared" si="5"/>
        <v>2421552.0600000075</v>
      </c>
      <c r="F334" s="185"/>
      <c r="G334" s="185"/>
      <c r="H334" s="185"/>
      <c r="I334" s="185"/>
      <c r="J334" s="185"/>
      <c r="K334" s="185"/>
      <c r="L334" s="185"/>
      <c r="M334" s="190"/>
      <c r="N334" s="190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25">
      <c r="A335" s="175"/>
      <c r="B335" s="170"/>
      <c r="C335" s="210"/>
      <c r="D335" s="170"/>
      <c r="E335" s="176">
        <f t="shared" si="5"/>
        <v>2421552.0600000075</v>
      </c>
      <c r="F335" s="211"/>
      <c r="G335" s="83"/>
      <c r="H335" s="212"/>
      <c r="I335" s="183"/>
      <c r="J335" s="84"/>
      <c r="K335" s="248"/>
      <c r="L335" s="185"/>
      <c r="M335" s="190"/>
      <c r="N335" s="190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25">
      <c r="A336" s="175"/>
      <c r="B336" s="170"/>
      <c r="C336" s="170"/>
      <c r="D336" s="210"/>
      <c r="E336" s="176">
        <f t="shared" si="5"/>
        <v>2421552.0600000075</v>
      </c>
      <c r="F336" s="211"/>
      <c r="G336" s="83"/>
      <c r="H336" s="245"/>
      <c r="I336" s="183"/>
      <c r="J336" s="84"/>
      <c r="K336" s="246"/>
      <c r="L336" s="185"/>
      <c r="M336" s="190"/>
      <c r="N336" s="190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25">
      <c r="A337" s="175"/>
      <c r="B337" s="170"/>
      <c r="C337" s="210"/>
      <c r="D337" s="170"/>
      <c r="E337" s="176">
        <f t="shared" si="5"/>
        <v>2421552.0600000075</v>
      </c>
      <c r="F337" s="234"/>
      <c r="G337" s="252"/>
      <c r="H337" s="190"/>
      <c r="I337" s="185"/>
      <c r="J337" s="185"/>
      <c r="K337" s="185"/>
      <c r="L337" s="185"/>
      <c r="M337" s="190"/>
      <c r="N337" s="190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25">
      <c r="A338" s="175"/>
      <c r="B338" s="170"/>
      <c r="C338" s="210"/>
      <c r="D338" s="170"/>
      <c r="E338" s="176">
        <f t="shared" si="5"/>
        <v>2421552.0600000075</v>
      </c>
      <c r="F338" s="204"/>
      <c r="G338" s="181"/>
      <c r="H338" s="205"/>
      <c r="I338" s="181"/>
      <c r="J338" s="206"/>
      <c r="K338" s="185"/>
      <c r="L338" s="185"/>
      <c r="M338" s="190"/>
      <c r="N338" s="190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25">
      <c r="A339" s="175"/>
      <c r="B339" s="170"/>
      <c r="C339" s="170"/>
      <c r="D339" s="210"/>
      <c r="E339" s="176">
        <f t="shared" si="5"/>
        <v>2421552.0600000075</v>
      </c>
      <c r="F339" s="227"/>
      <c r="G339" s="181"/>
      <c r="H339" s="182"/>
      <c r="I339" s="185"/>
      <c r="J339" s="185"/>
      <c r="K339" s="185"/>
      <c r="L339" s="185"/>
      <c r="M339" s="190"/>
      <c r="N339" s="190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25">
      <c r="A340" s="175"/>
      <c r="B340" s="170"/>
      <c r="C340" s="210"/>
      <c r="D340" s="170"/>
      <c r="E340" s="176">
        <f t="shared" si="5"/>
        <v>2421552.0600000075</v>
      </c>
      <c r="F340" s="229"/>
      <c r="G340" s="239"/>
      <c r="H340" s="196"/>
      <c r="I340" s="185"/>
      <c r="J340" s="185"/>
      <c r="K340" s="185"/>
      <c r="L340" s="185"/>
      <c r="M340" s="190"/>
      <c r="N340" s="190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25">
      <c r="A341" s="175"/>
      <c r="B341" s="170"/>
      <c r="C341" s="210"/>
      <c r="D341" s="170"/>
      <c r="E341" s="176">
        <f t="shared" si="5"/>
        <v>2421552.0600000075</v>
      </c>
      <c r="F341" s="185"/>
      <c r="G341" s="185"/>
      <c r="H341" s="185"/>
      <c r="I341" s="185"/>
      <c r="J341" s="185"/>
      <c r="K341" s="185"/>
      <c r="L341" s="185"/>
      <c r="M341" s="190"/>
      <c r="N341" s="190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25">
      <c r="A342" s="175"/>
      <c r="B342" s="170"/>
      <c r="C342" s="170"/>
      <c r="D342" s="210"/>
      <c r="E342" s="176">
        <f t="shared" si="5"/>
        <v>2421552.0600000075</v>
      </c>
      <c r="F342" s="185"/>
      <c r="G342" s="185"/>
      <c r="H342" s="185"/>
      <c r="I342" s="185"/>
      <c r="J342" s="185"/>
      <c r="K342" s="185"/>
      <c r="L342" s="185"/>
      <c r="M342" s="190"/>
      <c r="N342" s="190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25">
      <c r="A343" s="175"/>
      <c r="B343" s="170"/>
      <c r="C343" s="210"/>
      <c r="D343" s="170"/>
      <c r="E343" s="176">
        <f t="shared" si="5"/>
        <v>2421552.0600000075</v>
      </c>
      <c r="F343" s="185"/>
      <c r="G343" s="185"/>
      <c r="H343" s="185"/>
      <c r="I343" s="274"/>
      <c r="J343" s="185"/>
      <c r="K343" s="185"/>
      <c r="L343" s="185"/>
      <c r="M343" s="190"/>
      <c r="N343" s="190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25">
      <c r="A344" s="175"/>
      <c r="B344" s="170"/>
      <c r="C344" s="210"/>
      <c r="D344" s="170"/>
      <c r="E344" s="176">
        <f t="shared" si="5"/>
        <v>2421552.0600000075</v>
      </c>
      <c r="F344" s="180"/>
      <c r="G344" s="181"/>
      <c r="H344" s="182"/>
      <c r="I344" s="185"/>
      <c r="J344" s="185"/>
      <c r="K344" s="185"/>
      <c r="L344" s="185"/>
      <c r="M344" s="190"/>
      <c r="N344" s="190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25">
      <c r="A345" s="175"/>
      <c r="B345" s="170"/>
      <c r="C345" s="170"/>
      <c r="D345" s="210"/>
      <c r="E345" s="176">
        <f t="shared" si="5"/>
        <v>2421552.0600000075</v>
      </c>
      <c r="F345" s="229"/>
      <c r="G345" s="247"/>
      <c r="H345" s="184"/>
      <c r="I345" s="185"/>
      <c r="J345" s="185"/>
      <c r="K345" s="185"/>
      <c r="L345" s="185"/>
      <c r="M345" s="190"/>
      <c r="N345" s="190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25">
      <c r="A346" s="175"/>
      <c r="B346" s="170"/>
      <c r="C346" s="210"/>
      <c r="D346" s="170"/>
      <c r="E346" s="176">
        <f t="shared" si="5"/>
        <v>2421552.0600000075</v>
      </c>
      <c r="F346" s="229"/>
      <c r="G346" s="239"/>
      <c r="H346" s="243"/>
      <c r="I346" s="185"/>
      <c r="J346" s="185"/>
      <c r="K346" s="185"/>
      <c r="L346" s="185"/>
      <c r="M346" s="190"/>
      <c r="N346" s="190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25">
      <c r="A347" s="175"/>
      <c r="B347" s="170"/>
      <c r="C347" s="210"/>
      <c r="D347" s="170"/>
      <c r="E347" s="176">
        <f t="shared" si="5"/>
        <v>2421552.0600000075</v>
      </c>
      <c r="F347" s="185"/>
      <c r="G347" s="185"/>
      <c r="H347" s="185"/>
      <c r="I347" s="185"/>
      <c r="J347" s="185"/>
      <c r="K347" s="185"/>
      <c r="L347" s="185"/>
      <c r="M347" s="190"/>
      <c r="N347" s="190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25">
      <c r="A348" s="175"/>
      <c r="B348" s="170"/>
      <c r="C348" s="170"/>
      <c r="D348" s="210"/>
      <c r="E348" s="176">
        <f t="shared" si="5"/>
        <v>2421552.0600000075</v>
      </c>
      <c r="F348" s="185"/>
      <c r="G348" s="185"/>
      <c r="H348" s="185"/>
      <c r="I348" s="183"/>
      <c r="J348" s="84"/>
      <c r="K348" s="248"/>
      <c r="L348" s="185"/>
      <c r="M348" s="190"/>
      <c r="N348" s="190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25">
      <c r="A349" s="175"/>
      <c r="B349" s="170"/>
      <c r="C349" s="210"/>
      <c r="D349" s="170"/>
      <c r="E349" s="176">
        <f t="shared" si="5"/>
        <v>2421552.0600000075</v>
      </c>
      <c r="F349" s="185"/>
      <c r="G349" s="185"/>
      <c r="H349" s="185"/>
      <c r="I349" s="185"/>
      <c r="J349" s="185"/>
      <c r="K349" s="185"/>
      <c r="L349" s="185"/>
      <c r="M349" s="190"/>
      <c r="N349" s="190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25">
      <c r="A350" s="175"/>
      <c r="B350" s="170"/>
      <c r="C350" s="210"/>
      <c r="D350" s="170"/>
      <c r="E350" s="176">
        <f t="shared" si="5"/>
        <v>2421552.0600000075</v>
      </c>
      <c r="F350" s="185"/>
      <c r="G350" s="185"/>
      <c r="H350" s="190"/>
      <c r="I350" s="185"/>
      <c r="J350" s="185"/>
      <c r="K350" s="185"/>
      <c r="L350" s="185"/>
      <c r="M350" s="190"/>
      <c r="N350" s="190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25">
      <c r="A351" s="175"/>
      <c r="B351" s="170"/>
      <c r="C351" s="170"/>
      <c r="D351" s="210"/>
      <c r="E351" s="176">
        <f t="shared" si="5"/>
        <v>2421552.0600000075</v>
      </c>
      <c r="F351" s="185"/>
      <c r="G351" s="185"/>
      <c r="H351" s="185"/>
      <c r="I351" s="185"/>
      <c r="J351" s="185"/>
      <c r="K351" s="185"/>
      <c r="L351" s="185"/>
      <c r="M351" s="190"/>
      <c r="N351" s="190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25">
      <c r="A352" s="175"/>
      <c r="B352" s="170"/>
      <c r="C352" s="210"/>
      <c r="D352" s="170"/>
      <c r="E352" s="176">
        <f t="shared" si="5"/>
        <v>2421552.0600000075</v>
      </c>
      <c r="F352" s="185"/>
      <c r="G352" s="185"/>
      <c r="H352" s="185"/>
      <c r="I352" s="185"/>
      <c r="J352" s="185"/>
      <c r="K352" s="185"/>
      <c r="L352" s="185"/>
      <c r="M352" s="190"/>
      <c r="N352" s="190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25">
      <c r="A353" s="175"/>
      <c r="B353" s="170"/>
      <c r="C353" s="210"/>
      <c r="D353" s="170"/>
      <c r="E353" s="176">
        <f t="shared" si="5"/>
        <v>2421552.0600000075</v>
      </c>
      <c r="F353" s="204"/>
      <c r="G353" s="181"/>
      <c r="H353" s="205"/>
      <c r="I353" s="181"/>
      <c r="J353" s="206"/>
      <c r="K353" s="185"/>
      <c r="L353" s="185"/>
      <c r="M353" s="190"/>
      <c r="N353" s="190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25">
      <c r="A354" s="175"/>
      <c r="B354" s="170"/>
      <c r="C354" s="210"/>
      <c r="D354" s="170"/>
      <c r="E354" s="176">
        <f t="shared" si="5"/>
        <v>2421552.0600000075</v>
      </c>
      <c r="F354" s="227"/>
      <c r="G354" s="181"/>
      <c r="H354" s="182"/>
      <c r="I354" s="185"/>
      <c r="J354" s="185"/>
      <c r="K354" s="185"/>
      <c r="L354" s="185"/>
      <c r="M354" s="190"/>
      <c r="N354" s="190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25">
      <c r="A355" s="175"/>
      <c r="B355" s="170"/>
      <c r="C355" s="170"/>
      <c r="D355" s="210"/>
      <c r="E355" s="176">
        <f t="shared" si="5"/>
        <v>2421552.0600000075</v>
      </c>
      <c r="F355" s="229"/>
      <c r="G355" s="239"/>
      <c r="H355" s="196"/>
      <c r="I355" s="185"/>
      <c r="J355" s="185"/>
      <c r="K355" s="185"/>
      <c r="L355" s="185"/>
      <c r="M355" s="190"/>
      <c r="N355" s="190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25">
      <c r="A356" s="175"/>
      <c r="B356" s="170"/>
      <c r="C356" s="210"/>
      <c r="D356" s="170"/>
      <c r="E356" s="176">
        <f t="shared" si="5"/>
        <v>2421552.0600000075</v>
      </c>
      <c r="F356" s="185"/>
      <c r="G356" s="185"/>
      <c r="H356" s="185"/>
      <c r="I356" s="185"/>
      <c r="J356" s="185"/>
      <c r="K356" s="185"/>
      <c r="L356" s="185"/>
      <c r="M356" s="190"/>
      <c r="N356" s="190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25">
      <c r="A357" s="175"/>
      <c r="B357" s="170"/>
      <c r="C357" s="210"/>
      <c r="D357" s="170"/>
      <c r="E357" s="176">
        <f t="shared" si="5"/>
        <v>2421552.0600000075</v>
      </c>
      <c r="F357" s="180"/>
      <c r="G357" s="181"/>
      <c r="H357" s="182"/>
      <c r="I357" s="185"/>
      <c r="J357" s="185"/>
      <c r="K357" s="185"/>
      <c r="L357" s="185"/>
      <c r="M357" s="190"/>
      <c r="N357" s="190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25">
      <c r="A358" s="175"/>
      <c r="B358" s="170"/>
      <c r="C358" s="170"/>
      <c r="D358" s="210"/>
      <c r="E358" s="176">
        <f t="shared" si="5"/>
        <v>2421552.0600000075</v>
      </c>
      <c r="F358" s="229"/>
      <c r="G358" s="247"/>
      <c r="H358" s="184"/>
      <c r="I358" s="185"/>
      <c r="J358" s="185"/>
      <c r="K358" s="185"/>
      <c r="L358" s="185"/>
      <c r="M358" s="190"/>
      <c r="N358" s="190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25">
      <c r="A359" s="175"/>
      <c r="B359" s="170"/>
      <c r="C359" s="210"/>
      <c r="D359" s="170"/>
      <c r="E359" s="176">
        <f t="shared" si="5"/>
        <v>2421552.0600000075</v>
      </c>
      <c r="F359" s="244"/>
      <c r="G359" s="181"/>
      <c r="H359" s="182"/>
      <c r="I359" s="185"/>
      <c r="J359" s="185"/>
      <c r="K359" s="185"/>
      <c r="L359" s="185"/>
      <c r="M359" s="190"/>
      <c r="N359" s="190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25">
      <c r="A360" s="175"/>
      <c r="B360" s="170"/>
      <c r="C360" s="210"/>
      <c r="D360" s="170"/>
      <c r="E360" s="176">
        <f t="shared" si="5"/>
        <v>2421552.0600000075</v>
      </c>
      <c r="F360" s="185"/>
      <c r="G360" s="185"/>
      <c r="H360" s="185"/>
      <c r="I360" s="185"/>
      <c r="J360" s="185"/>
      <c r="K360" s="185"/>
      <c r="L360" s="185"/>
      <c r="M360" s="190"/>
      <c r="N360" s="190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25">
      <c r="A361" s="175"/>
      <c r="B361" s="170"/>
      <c r="C361" s="170"/>
      <c r="D361" s="210"/>
      <c r="E361" s="176">
        <f t="shared" si="5"/>
        <v>2421552.0600000075</v>
      </c>
      <c r="F361" s="185"/>
      <c r="G361" s="185"/>
      <c r="H361" s="185"/>
      <c r="I361" s="185"/>
      <c r="J361" s="185"/>
      <c r="K361" s="185"/>
      <c r="L361" s="185"/>
      <c r="M361" s="190"/>
      <c r="N361" s="190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25">
      <c r="A362" s="175"/>
      <c r="B362" s="170"/>
      <c r="C362" s="210"/>
      <c r="D362" s="170"/>
      <c r="E362" s="176">
        <f t="shared" si="5"/>
        <v>2421552.0600000075</v>
      </c>
      <c r="F362" s="185"/>
      <c r="G362" s="185"/>
      <c r="H362" s="185"/>
      <c r="I362" s="185"/>
      <c r="J362" s="185"/>
      <c r="K362" s="185"/>
      <c r="L362" s="185"/>
      <c r="M362" s="190"/>
      <c r="N362" s="190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25">
      <c r="A363" s="175"/>
      <c r="B363" s="170"/>
      <c r="C363" s="210"/>
      <c r="D363" s="170"/>
      <c r="E363" s="176">
        <f t="shared" si="5"/>
        <v>2421552.0600000075</v>
      </c>
      <c r="F363" s="185"/>
      <c r="G363" s="185"/>
      <c r="H363" s="185"/>
      <c r="I363" s="185"/>
      <c r="J363" s="185"/>
      <c r="K363" s="185"/>
      <c r="L363" s="185"/>
      <c r="M363" s="190"/>
      <c r="N363" s="190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25">
      <c r="A364" s="175"/>
      <c r="B364" s="170"/>
      <c r="C364" s="170"/>
      <c r="D364" s="210"/>
      <c r="E364" s="176">
        <f t="shared" si="5"/>
        <v>2421552.0600000075</v>
      </c>
      <c r="F364" s="185"/>
      <c r="G364" s="185"/>
      <c r="H364" s="185"/>
      <c r="I364" s="185"/>
      <c r="J364" s="185"/>
      <c r="K364" s="185"/>
      <c r="L364" s="185"/>
      <c r="M364" s="190"/>
      <c r="N364" s="190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25">
      <c r="A365" s="175"/>
      <c r="B365" s="170"/>
      <c r="C365" s="210"/>
      <c r="D365" s="170"/>
      <c r="E365" s="176">
        <f t="shared" si="5"/>
        <v>2421552.0600000075</v>
      </c>
      <c r="F365" s="275"/>
      <c r="G365" s="185"/>
      <c r="H365" s="185"/>
      <c r="I365" s="185"/>
      <c r="J365" s="185"/>
      <c r="K365" s="185"/>
      <c r="L365" s="185"/>
      <c r="M365" s="190"/>
      <c r="N365" s="190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x14ac:dyDescent="0.25">
      <c r="A366" s="175"/>
      <c r="B366" s="170"/>
      <c r="C366" s="210"/>
      <c r="D366" s="170"/>
      <c r="E366" s="176">
        <f t="shared" si="5"/>
        <v>2421552.0600000075</v>
      </c>
      <c r="F366" s="185"/>
      <c r="G366" s="185"/>
      <c r="H366" s="185"/>
      <c r="I366" s="183"/>
      <c r="J366" s="84"/>
      <c r="K366" s="248"/>
      <c r="L366" s="185"/>
      <c r="M366" s="190"/>
      <c r="N366" s="190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25">
      <c r="A367" s="175"/>
      <c r="B367" s="170"/>
      <c r="C367" s="170"/>
      <c r="D367" s="262"/>
      <c r="E367" s="176">
        <f t="shared" si="5"/>
        <v>2421552.0600000075</v>
      </c>
      <c r="F367" s="80"/>
      <c r="G367" s="253"/>
      <c r="H367" s="185"/>
      <c r="I367" s="185"/>
      <c r="J367" s="185"/>
      <c r="K367" s="185"/>
      <c r="L367" s="185"/>
      <c r="M367" s="190"/>
      <c r="N367" s="190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25">
      <c r="A368" s="175"/>
      <c r="B368" s="170"/>
      <c r="C368" s="210"/>
      <c r="D368" s="170"/>
      <c r="E368" s="176">
        <f t="shared" si="5"/>
        <v>2421552.0600000075</v>
      </c>
      <c r="F368" s="185"/>
      <c r="G368" s="185"/>
      <c r="H368" s="185"/>
      <c r="I368" s="185"/>
      <c r="J368" s="185"/>
      <c r="K368" s="185"/>
      <c r="L368" s="185"/>
      <c r="M368" s="190"/>
      <c r="N368" s="190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25">
      <c r="A369" s="175"/>
      <c r="B369" s="170"/>
      <c r="C369" s="210"/>
      <c r="D369" s="170"/>
      <c r="E369" s="176">
        <f t="shared" si="5"/>
        <v>2421552.0600000075</v>
      </c>
      <c r="F369" s="185"/>
      <c r="G369" s="185"/>
      <c r="H369" s="185"/>
      <c r="I369" s="185"/>
      <c r="J369" s="185"/>
      <c r="K369" s="185"/>
      <c r="L369" s="185"/>
      <c r="M369" s="190"/>
      <c r="N369" s="190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25">
      <c r="A370" s="175"/>
      <c r="B370" s="170"/>
      <c r="C370" s="170"/>
      <c r="D370" s="210"/>
      <c r="E370" s="176">
        <f t="shared" si="5"/>
        <v>2421552.0600000075</v>
      </c>
      <c r="F370" s="185"/>
      <c r="G370" s="185"/>
      <c r="H370" s="185"/>
      <c r="I370" s="185"/>
      <c r="J370" s="185"/>
      <c r="K370" s="185"/>
      <c r="L370" s="185"/>
      <c r="M370" s="190"/>
      <c r="N370" s="190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25">
      <c r="A371" s="175"/>
      <c r="B371" s="170"/>
      <c r="C371" s="210"/>
      <c r="D371" s="170"/>
      <c r="E371" s="176">
        <f t="shared" si="5"/>
        <v>2421552.0600000075</v>
      </c>
      <c r="F371" s="185"/>
      <c r="G371" s="185"/>
      <c r="H371" s="185"/>
      <c r="I371" s="185"/>
      <c r="J371" s="185"/>
      <c r="K371" s="185"/>
      <c r="L371" s="185"/>
      <c r="M371" s="190"/>
      <c r="N371" s="190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25">
      <c r="A372" s="175"/>
      <c r="B372" s="170"/>
      <c r="C372" s="210"/>
      <c r="D372" s="170"/>
      <c r="E372" s="176">
        <f t="shared" si="5"/>
        <v>2421552.0600000075</v>
      </c>
      <c r="F372" s="80"/>
      <c r="G372" s="253"/>
      <c r="H372" s="185"/>
      <c r="I372" s="185"/>
      <c r="J372" s="185"/>
      <c r="K372" s="185"/>
      <c r="L372" s="185"/>
      <c r="M372" s="190"/>
      <c r="N372" s="190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25">
      <c r="A373" s="175"/>
      <c r="B373" s="170"/>
      <c r="C373" s="170"/>
      <c r="D373" s="210"/>
      <c r="E373" s="176">
        <f t="shared" si="5"/>
        <v>2421552.0600000075</v>
      </c>
      <c r="F373" s="75"/>
      <c r="G373" s="117"/>
      <c r="H373" s="196"/>
      <c r="I373" s="185"/>
      <c r="J373" s="185"/>
      <c r="K373" s="185"/>
      <c r="L373" s="185"/>
      <c r="M373" s="190"/>
      <c r="N373" s="190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25">
      <c r="A374" s="175"/>
      <c r="B374" s="170"/>
      <c r="C374" s="210"/>
      <c r="D374" s="170"/>
      <c r="E374" s="176">
        <f t="shared" si="5"/>
        <v>2421552.0600000075</v>
      </c>
      <c r="F374" s="185"/>
      <c r="G374" s="185"/>
      <c r="H374" s="185"/>
      <c r="I374" s="185"/>
      <c r="J374" s="185"/>
      <c r="K374" s="185"/>
      <c r="L374" s="185"/>
      <c r="M374" s="190"/>
      <c r="N374" s="190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25">
      <c r="A375" s="175"/>
      <c r="B375" s="170"/>
      <c r="C375" s="210"/>
      <c r="D375" s="170"/>
      <c r="E375" s="176">
        <f t="shared" si="5"/>
        <v>2421552.0600000075</v>
      </c>
      <c r="F375" s="180"/>
      <c r="G375" s="181"/>
      <c r="H375" s="182"/>
      <c r="I375" s="185"/>
      <c r="J375" s="185"/>
      <c r="K375" s="185"/>
      <c r="L375" s="185"/>
      <c r="M375" s="190"/>
      <c r="N375" s="190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25">
      <c r="A376" s="175"/>
      <c r="B376" s="170"/>
      <c r="C376" s="170"/>
      <c r="D376" s="210"/>
      <c r="E376" s="176">
        <f t="shared" si="5"/>
        <v>2421552.0600000075</v>
      </c>
      <c r="F376" s="229"/>
      <c r="G376" s="247"/>
      <c r="H376" s="184"/>
      <c r="I376" s="185"/>
      <c r="J376" s="185"/>
      <c r="K376" s="185"/>
      <c r="L376" s="185"/>
      <c r="M376" s="190"/>
      <c r="N376" s="190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25">
      <c r="A377" s="175"/>
      <c r="B377" s="170"/>
      <c r="C377" s="210"/>
      <c r="D377" s="170"/>
      <c r="E377" s="176">
        <f t="shared" si="5"/>
        <v>2421552.0600000075</v>
      </c>
      <c r="F377" s="185"/>
      <c r="G377" s="185"/>
      <c r="H377" s="185"/>
      <c r="I377" s="185"/>
      <c r="J377" s="185"/>
      <c r="K377" s="185"/>
      <c r="L377" s="185"/>
      <c r="M377" s="190"/>
      <c r="N377" s="190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25">
      <c r="A378" s="175"/>
      <c r="B378" s="170"/>
      <c r="C378" s="210"/>
      <c r="D378" s="170"/>
      <c r="E378" s="176">
        <f t="shared" si="5"/>
        <v>2421552.0600000075</v>
      </c>
      <c r="F378" s="185"/>
      <c r="G378" s="185"/>
      <c r="H378" s="185"/>
      <c r="I378" s="183"/>
      <c r="J378" s="84"/>
      <c r="K378" s="248"/>
      <c r="L378" s="185"/>
      <c r="M378" s="190"/>
      <c r="N378" s="190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25">
      <c r="A379" s="175"/>
      <c r="B379" s="170"/>
      <c r="C379" s="170"/>
      <c r="D379" s="210"/>
      <c r="E379" s="176">
        <f t="shared" si="5"/>
        <v>2421552.0600000075</v>
      </c>
      <c r="F379" s="185"/>
      <c r="G379" s="185"/>
      <c r="H379" s="185"/>
      <c r="I379" s="185"/>
      <c r="J379" s="185"/>
      <c r="K379" s="185"/>
      <c r="L379" s="185"/>
      <c r="M379" s="190"/>
      <c r="N379" s="190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25">
      <c r="A380" s="175"/>
      <c r="B380" s="170"/>
      <c r="C380" s="210"/>
      <c r="D380" s="170"/>
      <c r="E380" s="176">
        <f t="shared" si="5"/>
        <v>2421552.0600000075</v>
      </c>
      <c r="F380" s="244"/>
      <c r="G380" s="181"/>
      <c r="H380" s="182"/>
      <c r="I380" s="185"/>
      <c r="J380" s="185"/>
      <c r="K380" s="185"/>
      <c r="L380" s="185"/>
      <c r="M380" s="190"/>
      <c r="N380" s="190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25">
      <c r="A381" s="175"/>
      <c r="B381" s="170"/>
      <c r="C381" s="210"/>
      <c r="D381" s="170"/>
      <c r="E381" s="176">
        <f t="shared" si="5"/>
        <v>2421552.0600000075</v>
      </c>
      <c r="F381" s="229"/>
      <c r="G381" s="276"/>
      <c r="H381" s="196"/>
      <c r="I381" s="185"/>
      <c r="J381" s="185"/>
      <c r="K381" s="185"/>
      <c r="L381" s="185"/>
      <c r="M381" s="190"/>
      <c r="N381" s="190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25">
      <c r="A382" s="175"/>
      <c r="B382" s="170"/>
      <c r="C382" s="170"/>
      <c r="D382" s="210"/>
      <c r="E382" s="176">
        <f t="shared" si="5"/>
        <v>2421552.0600000075</v>
      </c>
      <c r="F382" s="80"/>
      <c r="G382" s="85"/>
      <c r="H382" s="277"/>
      <c r="I382" s="185"/>
      <c r="J382" s="185"/>
      <c r="K382" s="185"/>
      <c r="L382" s="185"/>
      <c r="M382" s="190"/>
      <c r="N382" s="190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25">
      <c r="A383" s="175"/>
      <c r="B383" s="170"/>
      <c r="C383" s="210"/>
      <c r="D383" s="170"/>
      <c r="E383" s="176">
        <f t="shared" si="5"/>
        <v>2421552.0600000075</v>
      </c>
      <c r="F383" s="185"/>
      <c r="G383" s="185"/>
      <c r="H383" s="185"/>
      <c r="I383" s="185"/>
      <c r="J383" s="185"/>
      <c r="K383" s="185"/>
      <c r="L383" s="185"/>
      <c r="M383" s="190"/>
      <c r="N383" s="190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25">
      <c r="A384" s="175"/>
      <c r="B384" s="170"/>
      <c r="C384" s="210"/>
      <c r="D384" s="170"/>
      <c r="E384" s="176">
        <f t="shared" si="5"/>
        <v>2421552.0600000075</v>
      </c>
      <c r="F384" s="180"/>
      <c r="G384" s="181"/>
      <c r="H384" s="182"/>
      <c r="I384" s="183"/>
      <c r="J384" s="84"/>
      <c r="K384" s="246"/>
      <c r="L384" s="185"/>
      <c r="M384" s="190"/>
      <c r="N384" s="190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25">
      <c r="A385" s="175"/>
      <c r="B385" s="170"/>
      <c r="C385" s="170"/>
      <c r="D385" s="262"/>
      <c r="E385" s="176">
        <f t="shared" si="5"/>
        <v>2421552.0600000075</v>
      </c>
      <c r="F385" s="75"/>
      <c r="G385" s="278"/>
      <c r="H385" s="184"/>
      <c r="I385" s="185"/>
      <c r="J385" s="185"/>
      <c r="K385" s="185"/>
      <c r="L385" s="185"/>
      <c r="M385" s="190"/>
      <c r="N385" s="190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25">
      <c r="A386" s="175"/>
      <c r="B386" s="170"/>
      <c r="C386" s="210"/>
      <c r="D386" s="170"/>
      <c r="E386" s="176">
        <f t="shared" si="5"/>
        <v>2421552.0600000075</v>
      </c>
      <c r="F386" s="185"/>
      <c r="G386" s="185"/>
      <c r="H386" s="185"/>
      <c r="I386" s="185"/>
      <c r="J386" s="185"/>
      <c r="K386" s="185"/>
      <c r="L386" s="185"/>
      <c r="M386" s="190"/>
      <c r="N386" s="190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25">
      <c r="A387" s="175"/>
      <c r="B387" s="170"/>
      <c r="C387" s="210"/>
      <c r="D387" s="170"/>
      <c r="E387" s="176">
        <f t="shared" si="5"/>
        <v>2421552.0600000075</v>
      </c>
      <c r="F387" s="185"/>
      <c r="G387" s="185"/>
      <c r="H387" s="185"/>
      <c r="I387" s="185"/>
      <c r="J387" s="185"/>
      <c r="K387" s="185"/>
      <c r="L387" s="185"/>
      <c r="M387" s="190"/>
      <c r="N387" s="190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25">
      <c r="A388" s="175"/>
      <c r="B388" s="170"/>
      <c r="C388" s="170"/>
      <c r="D388" s="210"/>
      <c r="E388" s="176">
        <f t="shared" si="5"/>
        <v>2421552.0600000075</v>
      </c>
      <c r="F388" s="185"/>
      <c r="G388" s="185"/>
      <c r="H388" s="185"/>
      <c r="I388" s="185"/>
      <c r="J388" s="185"/>
      <c r="K388" s="185"/>
      <c r="L388" s="185"/>
      <c r="M388" s="190"/>
      <c r="N388" s="190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25">
      <c r="A389" s="175"/>
      <c r="B389" s="170"/>
      <c r="C389" s="210"/>
      <c r="D389" s="170"/>
      <c r="E389" s="176">
        <f t="shared" si="5"/>
        <v>2421552.0600000075</v>
      </c>
      <c r="F389" s="227"/>
      <c r="G389" s="181"/>
      <c r="H389" s="182"/>
      <c r="I389" s="185"/>
      <c r="J389" s="185"/>
      <c r="K389" s="185"/>
      <c r="L389" s="185"/>
      <c r="M389" s="190"/>
      <c r="N389" s="190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25">
      <c r="A390" s="175"/>
      <c r="B390" s="170"/>
      <c r="C390" s="210"/>
      <c r="D390" s="170"/>
      <c r="E390" s="176">
        <f t="shared" si="5"/>
        <v>2421552.0600000075</v>
      </c>
      <c r="F390" s="180"/>
      <c r="G390" s="181"/>
      <c r="H390" s="182"/>
      <c r="I390" s="185"/>
      <c r="J390" s="185"/>
      <c r="K390" s="185"/>
      <c r="L390" s="185"/>
      <c r="M390" s="190"/>
      <c r="N390" s="190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25">
      <c r="A391" s="175"/>
      <c r="B391" s="170"/>
      <c r="C391" s="170"/>
      <c r="D391" s="210"/>
      <c r="E391" s="176">
        <f t="shared" si="5"/>
        <v>2421552.0600000075</v>
      </c>
      <c r="F391" s="229"/>
      <c r="G391" s="247"/>
      <c r="H391" s="184"/>
      <c r="I391" s="185"/>
      <c r="J391" s="185"/>
      <c r="K391" s="185"/>
      <c r="L391" s="185"/>
      <c r="M391" s="190"/>
      <c r="N391" s="190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25">
      <c r="A392" s="175"/>
      <c r="B392" s="170"/>
      <c r="C392" s="210"/>
      <c r="D392" s="170"/>
      <c r="E392" s="176">
        <f t="shared" ref="E392:E455" si="6">E391-C392+D392</f>
        <v>2421552.0600000075</v>
      </c>
      <c r="F392" s="185"/>
      <c r="G392" s="185"/>
      <c r="H392" s="185"/>
      <c r="I392" s="185"/>
      <c r="J392" s="185"/>
      <c r="K392" s="185"/>
      <c r="L392" s="185"/>
      <c r="M392" s="190"/>
      <c r="N392" s="190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25">
      <c r="A393" s="175"/>
      <c r="B393" s="170"/>
      <c r="C393" s="210"/>
      <c r="D393" s="170"/>
      <c r="E393" s="176">
        <f t="shared" si="6"/>
        <v>2421552.0600000075</v>
      </c>
      <c r="F393" s="185"/>
      <c r="G393" s="185"/>
      <c r="H393" s="185"/>
      <c r="I393" s="185"/>
      <c r="J393" s="185"/>
      <c r="K393" s="185"/>
      <c r="L393" s="185"/>
      <c r="M393" s="190"/>
      <c r="N393" s="190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25">
      <c r="A394" s="175"/>
      <c r="B394" s="170"/>
      <c r="C394" s="170"/>
      <c r="D394" s="210"/>
      <c r="E394" s="176">
        <f t="shared" si="6"/>
        <v>2421552.0600000075</v>
      </c>
      <c r="F394" s="185"/>
      <c r="G394" s="185"/>
      <c r="H394" s="185"/>
      <c r="I394" s="185"/>
      <c r="J394" s="185"/>
      <c r="K394" s="185"/>
      <c r="L394" s="185"/>
      <c r="M394" s="190"/>
      <c r="N394" s="190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25">
      <c r="A395" s="175"/>
      <c r="B395" s="170"/>
      <c r="C395" s="210"/>
      <c r="D395" s="170"/>
      <c r="E395" s="176">
        <f t="shared" si="6"/>
        <v>2421552.0600000075</v>
      </c>
      <c r="F395" s="244"/>
      <c r="G395" s="181"/>
      <c r="H395" s="182"/>
      <c r="I395" s="181"/>
      <c r="J395" s="49"/>
      <c r="K395" s="233"/>
      <c r="L395" s="185"/>
      <c r="M395" s="190"/>
      <c r="N395" s="190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25">
      <c r="A396" s="175"/>
      <c r="B396" s="170"/>
      <c r="C396" s="210"/>
      <c r="D396" s="170"/>
      <c r="E396" s="176">
        <f t="shared" si="6"/>
        <v>2421552.0600000075</v>
      </c>
      <c r="F396" s="229"/>
      <c r="G396" s="239"/>
      <c r="H396" s="196"/>
      <c r="I396" s="185"/>
      <c r="J396" s="185"/>
      <c r="K396" s="185"/>
      <c r="L396" s="185"/>
      <c r="M396" s="190"/>
      <c r="N396" s="190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25">
      <c r="A397" s="175"/>
      <c r="B397" s="170"/>
      <c r="C397" s="170"/>
      <c r="D397" s="262"/>
      <c r="E397" s="176">
        <f t="shared" si="6"/>
        <v>2421552.0600000075</v>
      </c>
      <c r="F397" s="80"/>
      <c r="G397" s="73"/>
      <c r="H397" s="186"/>
      <c r="I397" s="185"/>
      <c r="J397" s="185"/>
      <c r="K397" s="185"/>
      <c r="L397" s="185"/>
      <c r="M397" s="190"/>
      <c r="N397" s="190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x14ac:dyDescent="0.25">
      <c r="A398" s="175"/>
      <c r="B398" s="170"/>
      <c r="C398" s="210"/>
      <c r="D398" s="170"/>
      <c r="E398" s="176">
        <f t="shared" si="6"/>
        <v>2421552.0600000075</v>
      </c>
      <c r="F398" s="185"/>
      <c r="G398" s="185"/>
      <c r="H398" s="185"/>
      <c r="I398" s="185"/>
      <c r="J398" s="185"/>
      <c r="K398" s="185"/>
      <c r="L398" s="185"/>
      <c r="M398" s="190"/>
      <c r="N398" s="190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x14ac:dyDescent="0.25">
      <c r="A399" s="175"/>
      <c r="B399" s="170"/>
      <c r="C399" s="210"/>
      <c r="D399" s="170"/>
      <c r="E399" s="176">
        <f t="shared" si="6"/>
        <v>2421552.0600000075</v>
      </c>
      <c r="F399" s="204"/>
      <c r="G399" s="181"/>
      <c r="H399" s="205"/>
      <c r="I399" s="181"/>
      <c r="J399" s="206"/>
      <c r="K399" s="246"/>
      <c r="L399" s="185"/>
      <c r="M399" s="190"/>
      <c r="N399" s="190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x14ac:dyDescent="0.25">
      <c r="A400" s="175"/>
      <c r="B400" s="170"/>
      <c r="C400" s="170"/>
      <c r="D400" s="210"/>
      <c r="E400" s="176">
        <f t="shared" si="6"/>
        <v>2421552.0600000075</v>
      </c>
      <c r="F400" s="185"/>
      <c r="G400" s="185"/>
      <c r="H400" s="185"/>
      <c r="I400" s="185"/>
      <c r="J400" s="185"/>
      <c r="K400" s="185"/>
      <c r="L400" s="185"/>
      <c r="M400" s="190"/>
      <c r="N400" s="190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25">
      <c r="A401" s="175"/>
      <c r="B401" s="170"/>
      <c r="C401" s="210"/>
      <c r="D401" s="170"/>
      <c r="E401" s="176">
        <f t="shared" si="6"/>
        <v>2421552.0600000075</v>
      </c>
      <c r="F401" s="185"/>
      <c r="G401" s="185"/>
      <c r="H401" s="185"/>
      <c r="I401" s="185"/>
      <c r="J401" s="185"/>
      <c r="K401" s="185"/>
      <c r="L401" s="185"/>
      <c r="M401" s="190"/>
      <c r="N401" s="190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25">
      <c r="A402" s="175"/>
      <c r="B402" s="170"/>
      <c r="C402" s="210"/>
      <c r="D402" s="170"/>
      <c r="E402" s="176">
        <f t="shared" si="6"/>
        <v>2421552.0600000075</v>
      </c>
      <c r="F402" s="254"/>
      <c r="G402" s="73"/>
      <c r="H402" s="185"/>
      <c r="I402" s="185"/>
      <c r="J402" s="185"/>
      <c r="K402" s="185"/>
      <c r="L402" s="185"/>
      <c r="M402" s="190"/>
      <c r="N402" s="190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25">
      <c r="A403" s="175"/>
      <c r="B403" s="170"/>
      <c r="C403" s="170"/>
      <c r="D403" s="210"/>
      <c r="E403" s="176">
        <f t="shared" si="6"/>
        <v>2421552.0600000075</v>
      </c>
      <c r="F403" s="185"/>
      <c r="G403" s="185"/>
      <c r="H403" s="185"/>
      <c r="I403" s="185"/>
      <c r="J403" s="185"/>
      <c r="K403" s="185"/>
      <c r="L403" s="185"/>
      <c r="M403" s="190"/>
      <c r="N403" s="190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25">
      <c r="A404" s="175"/>
      <c r="B404" s="170"/>
      <c r="C404" s="210"/>
      <c r="D404" s="170"/>
      <c r="E404" s="176">
        <f t="shared" si="6"/>
        <v>2421552.0600000075</v>
      </c>
      <c r="F404" s="211"/>
      <c r="G404" s="83"/>
      <c r="H404" s="212"/>
      <c r="I404" s="183"/>
      <c r="J404" s="84"/>
      <c r="K404" s="248"/>
      <c r="L404" s="185"/>
      <c r="M404" s="190"/>
      <c r="N404" s="190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25">
      <c r="A405" s="175"/>
      <c r="B405" s="170"/>
      <c r="C405" s="210"/>
      <c r="D405" s="170"/>
      <c r="E405" s="176">
        <f t="shared" si="6"/>
        <v>2421552.0600000075</v>
      </c>
      <c r="F405" s="180"/>
      <c r="G405" s="181"/>
      <c r="H405" s="182"/>
      <c r="I405" s="185"/>
      <c r="J405" s="279"/>
      <c r="K405" s="185"/>
      <c r="L405" s="185"/>
      <c r="M405" s="190"/>
      <c r="N405" s="190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25">
      <c r="A406" s="175"/>
      <c r="B406" s="170"/>
      <c r="C406" s="170"/>
      <c r="D406" s="210"/>
      <c r="E406" s="176">
        <f t="shared" si="6"/>
        <v>2421552.0600000075</v>
      </c>
      <c r="F406" s="229"/>
      <c r="G406" s="247"/>
      <c r="H406" s="184"/>
      <c r="I406" s="185"/>
      <c r="J406" s="185"/>
      <c r="K406" s="185"/>
      <c r="L406" s="185"/>
      <c r="M406" s="190"/>
      <c r="N406" s="190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25">
      <c r="A407" s="175"/>
      <c r="B407" s="170"/>
      <c r="C407" s="210"/>
      <c r="D407" s="170"/>
      <c r="E407" s="176">
        <f t="shared" si="6"/>
        <v>2421552.0600000075</v>
      </c>
      <c r="F407" s="229"/>
      <c r="G407" s="239"/>
      <c r="H407" s="243"/>
      <c r="I407" s="181"/>
      <c r="J407" s="49"/>
      <c r="K407" s="233"/>
      <c r="L407" s="185"/>
      <c r="M407" s="190"/>
      <c r="N407" s="190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25">
      <c r="A408" s="175"/>
      <c r="B408" s="170"/>
      <c r="C408" s="210"/>
      <c r="D408" s="170"/>
      <c r="E408" s="176">
        <f t="shared" si="6"/>
        <v>2421552.0600000075</v>
      </c>
      <c r="F408" s="229"/>
      <c r="G408" s="239"/>
      <c r="H408" s="196"/>
      <c r="I408" s="185"/>
      <c r="J408" s="185"/>
      <c r="K408" s="185"/>
      <c r="L408" s="185"/>
      <c r="M408" s="190"/>
      <c r="N408" s="190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25">
      <c r="A409" s="175"/>
      <c r="B409" s="170"/>
      <c r="C409" s="170"/>
      <c r="D409" s="210"/>
      <c r="E409" s="176">
        <f t="shared" si="6"/>
        <v>2421552.0600000075</v>
      </c>
      <c r="F409" s="253"/>
      <c r="G409" s="253"/>
      <c r="H409" s="280"/>
      <c r="I409" s="185"/>
      <c r="J409" s="185"/>
      <c r="K409" s="185"/>
      <c r="L409" s="185"/>
      <c r="M409" s="190"/>
      <c r="N409" s="190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25">
      <c r="A410" s="175"/>
      <c r="B410" s="170"/>
      <c r="C410" s="210"/>
      <c r="D410" s="170"/>
      <c r="E410" s="176">
        <f t="shared" si="6"/>
        <v>2421552.0600000075</v>
      </c>
      <c r="F410" s="185"/>
      <c r="G410" s="185"/>
      <c r="H410" s="185"/>
      <c r="I410" s="185"/>
      <c r="J410" s="185"/>
      <c r="K410" s="185"/>
      <c r="L410" s="185"/>
      <c r="M410" s="190"/>
      <c r="N410" s="190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25">
      <c r="A411" s="175"/>
      <c r="B411" s="170"/>
      <c r="C411" s="210"/>
      <c r="D411" s="170"/>
      <c r="E411" s="176">
        <f t="shared" si="6"/>
        <v>2421552.0600000075</v>
      </c>
      <c r="F411" s="185"/>
      <c r="G411" s="185"/>
      <c r="H411" s="185"/>
      <c r="I411" s="185"/>
      <c r="J411" s="185"/>
      <c r="K411" s="185"/>
      <c r="L411" s="185"/>
      <c r="M411" s="190"/>
      <c r="N411" s="190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25">
      <c r="A412" s="175"/>
      <c r="B412" s="170"/>
      <c r="C412" s="170"/>
      <c r="D412" s="210"/>
      <c r="E412" s="176">
        <f t="shared" si="6"/>
        <v>2421552.0600000075</v>
      </c>
      <c r="F412" s="185"/>
      <c r="G412" s="185"/>
      <c r="H412" s="185"/>
      <c r="I412" s="185"/>
      <c r="J412" s="185"/>
      <c r="K412" s="185"/>
      <c r="L412" s="185"/>
      <c r="M412" s="190"/>
      <c r="N412" s="190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25">
      <c r="A413" s="175"/>
      <c r="B413" s="170"/>
      <c r="C413" s="210"/>
      <c r="D413" s="170"/>
      <c r="E413" s="176">
        <f t="shared" si="6"/>
        <v>2421552.0600000075</v>
      </c>
      <c r="F413" s="185"/>
      <c r="G413" s="185"/>
      <c r="H413" s="185"/>
      <c r="I413" s="185"/>
      <c r="J413" s="185"/>
      <c r="K413" s="185"/>
      <c r="L413" s="185"/>
      <c r="M413" s="190"/>
      <c r="N413" s="190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25">
      <c r="A414" s="175"/>
      <c r="B414" s="170"/>
      <c r="C414" s="210"/>
      <c r="D414" s="170"/>
      <c r="E414" s="176">
        <f t="shared" si="6"/>
        <v>2421552.0600000075</v>
      </c>
      <c r="F414" s="204"/>
      <c r="G414" s="181"/>
      <c r="H414" s="205"/>
      <c r="I414" s="181"/>
      <c r="J414" s="206"/>
      <c r="K414" s="185"/>
      <c r="L414" s="185"/>
      <c r="M414" s="190"/>
      <c r="N414" s="190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25">
      <c r="A415" s="175"/>
      <c r="B415" s="170"/>
      <c r="C415" s="170"/>
      <c r="D415" s="210"/>
      <c r="E415" s="176">
        <f t="shared" si="6"/>
        <v>2421552.0600000075</v>
      </c>
      <c r="F415" s="211"/>
      <c r="G415" s="83"/>
      <c r="H415" s="245"/>
      <c r="I415" s="183"/>
      <c r="J415" s="84"/>
      <c r="K415" s="246"/>
      <c r="L415" s="185"/>
      <c r="M415" s="190"/>
      <c r="N415" s="190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25">
      <c r="A416" s="175"/>
      <c r="B416" s="170"/>
      <c r="C416" s="210"/>
      <c r="D416" s="170"/>
      <c r="E416" s="176">
        <f t="shared" si="6"/>
        <v>2421552.0600000075</v>
      </c>
      <c r="F416" s="211"/>
      <c r="G416" s="83"/>
      <c r="H416" s="212"/>
      <c r="I416" s="183"/>
      <c r="J416" s="84"/>
      <c r="K416" s="248"/>
      <c r="L416" s="185"/>
      <c r="M416" s="190"/>
      <c r="N416" s="190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25">
      <c r="A417" s="175"/>
      <c r="B417" s="170"/>
      <c r="C417" s="210"/>
      <c r="D417" s="170"/>
      <c r="E417" s="176">
        <f t="shared" si="6"/>
        <v>2421552.0600000075</v>
      </c>
      <c r="F417" s="185"/>
      <c r="G417" s="185"/>
      <c r="H417" s="185"/>
      <c r="I417" s="185"/>
      <c r="J417" s="185"/>
      <c r="K417" s="185"/>
      <c r="L417" s="185"/>
      <c r="M417" s="190"/>
      <c r="N417" s="190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x14ac:dyDescent="0.25">
      <c r="A418" s="175"/>
      <c r="B418" s="170"/>
      <c r="C418" s="170"/>
      <c r="D418" s="210"/>
      <c r="E418" s="176">
        <f t="shared" si="6"/>
        <v>2421552.0600000075</v>
      </c>
      <c r="F418" s="185"/>
      <c r="G418" s="185"/>
      <c r="H418" s="190"/>
      <c r="I418" s="185"/>
      <c r="J418" s="185"/>
      <c r="K418" s="185"/>
      <c r="L418" s="185"/>
      <c r="M418" s="190"/>
      <c r="N418" s="190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25">
      <c r="A419" s="175"/>
      <c r="B419" s="170"/>
      <c r="C419" s="210"/>
      <c r="D419" s="170"/>
      <c r="E419" s="176">
        <f t="shared" si="6"/>
        <v>2421552.0600000075</v>
      </c>
      <c r="F419" s="234"/>
      <c r="G419" s="239"/>
      <c r="H419" s="190"/>
      <c r="I419" s="185"/>
      <c r="J419" s="185"/>
      <c r="K419" s="185"/>
      <c r="L419" s="185"/>
      <c r="M419" s="190"/>
      <c r="N419" s="190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25">
      <c r="A420" s="175"/>
      <c r="B420" s="170"/>
      <c r="C420" s="210"/>
      <c r="D420" s="170"/>
      <c r="E420" s="176">
        <f t="shared" si="6"/>
        <v>2421552.0600000075</v>
      </c>
      <c r="F420" s="180"/>
      <c r="G420" s="181"/>
      <c r="H420" s="182"/>
      <c r="I420" s="185"/>
      <c r="J420" s="185"/>
      <c r="K420" s="185"/>
      <c r="L420" s="185"/>
      <c r="M420" s="190"/>
      <c r="N420" s="190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25">
      <c r="A421" s="175"/>
      <c r="B421" s="170"/>
      <c r="C421" s="170"/>
      <c r="D421" s="210"/>
      <c r="E421" s="176">
        <f t="shared" si="6"/>
        <v>2421552.0600000075</v>
      </c>
      <c r="F421" s="229"/>
      <c r="G421" s="247"/>
      <c r="H421" s="184"/>
      <c r="I421" s="185"/>
      <c r="J421" s="185"/>
      <c r="K421" s="185"/>
      <c r="L421" s="185"/>
      <c r="M421" s="190"/>
      <c r="N421" s="190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25">
      <c r="A422" s="175"/>
      <c r="B422" s="170"/>
      <c r="C422" s="210"/>
      <c r="D422" s="170"/>
      <c r="E422" s="176">
        <f t="shared" si="6"/>
        <v>2421552.0600000075</v>
      </c>
      <c r="F422" s="229"/>
      <c r="G422" s="239"/>
      <c r="H422" s="243"/>
      <c r="I422" s="185"/>
      <c r="J422" s="185"/>
      <c r="K422" s="185"/>
      <c r="L422" s="185"/>
      <c r="M422" s="190"/>
      <c r="N422" s="190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25">
      <c r="A423" s="175"/>
      <c r="B423" s="170"/>
      <c r="C423" s="210"/>
      <c r="D423" s="170"/>
      <c r="E423" s="176">
        <f t="shared" si="6"/>
        <v>2421552.0600000075</v>
      </c>
      <c r="F423" s="229"/>
      <c r="G423" s="239"/>
      <c r="H423" s="196"/>
      <c r="I423" s="185"/>
      <c r="J423" s="185"/>
      <c r="K423" s="185"/>
      <c r="L423" s="185"/>
      <c r="M423" s="190"/>
      <c r="N423" s="190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25">
      <c r="A424" s="175"/>
      <c r="B424" s="170"/>
      <c r="C424" s="170"/>
      <c r="D424" s="210"/>
      <c r="E424" s="176">
        <f t="shared" si="6"/>
        <v>2421552.0600000075</v>
      </c>
      <c r="F424" s="229"/>
      <c r="G424" s="239"/>
      <c r="H424" s="196"/>
      <c r="I424" s="181"/>
      <c r="J424" s="49"/>
      <c r="K424" s="182"/>
      <c r="L424" s="185"/>
      <c r="M424" s="190"/>
      <c r="N424" s="190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25">
      <c r="A425" s="175"/>
      <c r="B425" s="170"/>
      <c r="C425" s="210"/>
      <c r="D425" s="170"/>
      <c r="E425" s="176">
        <f t="shared" si="6"/>
        <v>2421552.0600000075</v>
      </c>
      <c r="F425" s="185"/>
      <c r="G425" s="185"/>
      <c r="H425" s="185"/>
      <c r="I425" s="185"/>
      <c r="J425" s="185"/>
      <c r="K425" s="185"/>
      <c r="L425" s="185"/>
      <c r="M425" s="190"/>
      <c r="N425" s="190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25">
      <c r="A426" s="175"/>
      <c r="B426" s="170"/>
      <c r="C426" s="210"/>
      <c r="D426" s="170"/>
      <c r="E426" s="176">
        <f t="shared" si="6"/>
        <v>2421552.0600000075</v>
      </c>
      <c r="F426" s="204"/>
      <c r="G426" s="181"/>
      <c r="H426" s="205"/>
      <c r="I426" s="181"/>
      <c r="J426" s="206"/>
      <c r="K426" s="185"/>
      <c r="L426" s="185"/>
      <c r="M426" s="190"/>
      <c r="N426" s="190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25">
      <c r="A427" s="175"/>
      <c r="B427" s="170"/>
      <c r="C427" s="170"/>
      <c r="D427" s="210"/>
      <c r="E427" s="176">
        <f t="shared" si="6"/>
        <v>2421552.0600000075</v>
      </c>
      <c r="F427" s="185"/>
      <c r="G427" s="185"/>
      <c r="H427" s="185"/>
      <c r="I427" s="185"/>
      <c r="J427" s="185"/>
      <c r="K427" s="185"/>
      <c r="L427" s="185"/>
      <c r="M427" s="190"/>
      <c r="N427" s="190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25">
      <c r="A428" s="175"/>
      <c r="B428" s="170"/>
      <c r="C428" s="210"/>
      <c r="D428" s="170"/>
      <c r="E428" s="176">
        <f t="shared" si="6"/>
        <v>2421552.0600000075</v>
      </c>
      <c r="F428" s="185"/>
      <c r="G428" s="185"/>
      <c r="H428" s="185"/>
      <c r="I428" s="185"/>
      <c r="J428" s="185"/>
      <c r="K428" s="185"/>
      <c r="L428" s="185"/>
      <c r="M428" s="190"/>
      <c r="N428" s="190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25">
      <c r="A429" s="175"/>
      <c r="B429" s="170"/>
      <c r="C429" s="210"/>
      <c r="D429" s="170"/>
      <c r="E429" s="176">
        <f t="shared" si="6"/>
        <v>2421552.0600000075</v>
      </c>
      <c r="F429" s="185"/>
      <c r="G429" s="185"/>
      <c r="H429" s="185"/>
      <c r="I429" s="185"/>
      <c r="J429" s="185"/>
      <c r="K429" s="185"/>
      <c r="L429" s="185"/>
      <c r="M429" s="190"/>
      <c r="N429" s="190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25">
      <c r="A430" s="175"/>
      <c r="B430" s="170"/>
      <c r="C430" s="170"/>
      <c r="D430" s="210"/>
      <c r="E430" s="176">
        <f t="shared" si="6"/>
        <v>2421552.0600000075</v>
      </c>
      <c r="F430" s="211"/>
      <c r="G430" s="83"/>
      <c r="H430" s="245"/>
      <c r="I430" s="183"/>
      <c r="J430" s="84"/>
      <c r="K430" s="246"/>
      <c r="L430" s="185"/>
      <c r="M430" s="190"/>
      <c r="N430" s="190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25">
      <c r="A431" s="175"/>
      <c r="B431" s="170"/>
      <c r="C431" s="210"/>
      <c r="D431" s="170"/>
      <c r="E431" s="176">
        <f t="shared" si="6"/>
        <v>2421552.0600000075</v>
      </c>
      <c r="F431" s="211"/>
      <c r="G431" s="83"/>
      <c r="H431" s="212"/>
      <c r="I431" s="183"/>
      <c r="J431" s="84"/>
      <c r="K431" s="248"/>
      <c r="L431" s="185"/>
      <c r="M431" s="190"/>
      <c r="N431" s="190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25">
      <c r="A432" s="175"/>
      <c r="B432" s="170"/>
      <c r="C432" s="210"/>
      <c r="D432" s="170"/>
      <c r="E432" s="176">
        <f t="shared" si="6"/>
        <v>2421552.0600000075</v>
      </c>
      <c r="F432" s="180"/>
      <c r="G432" s="181"/>
      <c r="H432" s="182"/>
      <c r="I432" s="183"/>
      <c r="J432" s="84"/>
      <c r="K432" s="248"/>
      <c r="L432" s="185"/>
      <c r="M432" s="190"/>
      <c r="N432" s="190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25">
      <c r="A433" s="175"/>
      <c r="B433" s="170"/>
      <c r="C433" s="170"/>
      <c r="D433" s="210"/>
      <c r="E433" s="176">
        <f t="shared" si="6"/>
        <v>2421552.0600000075</v>
      </c>
      <c r="F433" s="229"/>
      <c r="G433" s="247"/>
      <c r="H433" s="184"/>
      <c r="I433" s="185"/>
      <c r="J433" s="185"/>
      <c r="K433" s="185"/>
      <c r="L433" s="185"/>
      <c r="M433" s="190"/>
      <c r="N433" s="190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25">
      <c r="A434" s="175"/>
      <c r="B434" s="170"/>
      <c r="C434" s="210"/>
      <c r="D434" s="170"/>
      <c r="E434" s="176">
        <f t="shared" si="6"/>
        <v>2421552.0600000075</v>
      </c>
      <c r="F434" s="234"/>
      <c r="G434" s="239"/>
      <c r="H434" s="190"/>
      <c r="I434" s="185"/>
      <c r="J434" s="185"/>
      <c r="K434" s="185"/>
      <c r="L434" s="185"/>
      <c r="M434" s="190"/>
      <c r="N434" s="190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25">
      <c r="A435" s="175"/>
      <c r="B435" s="170"/>
      <c r="C435" s="210"/>
      <c r="D435" s="170"/>
      <c r="E435" s="176">
        <f t="shared" si="6"/>
        <v>2421552.0600000075</v>
      </c>
      <c r="F435" s="185"/>
      <c r="G435" s="185"/>
      <c r="H435" s="185"/>
      <c r="I435" s="185"/>
      <c r="J435" s="185"/>
      <c r="K435" s="185"/>
      <c r="L435" s="185"/>
      <c r="M435" s="190"/>
      <c r="N435" s="190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x14ac:dyDescent="0.25">
      <c r="A436" s="175"/>
      <c r="B436" s="170"/>
      <c r="C436" s="170"/>
      <c r="D436" s="210"/>
      <c r="E436" s="176">
        <f t="shared" si="6"/>
        <v>2421552.0600000075</v>
      </c>
      <c r="F436" s="204"/>
      <c r="G436" s="74"/>
      <c r="H436" s="205"/>
      <c r="I436" s="181"/>
      <c r="J436" s="49"/>
      <c r="K436" s="182"/>
      <c r="L436" s="185"/>
      <c r="M436" s="190"/>
      <c r="N436" s="190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25">
      <c r="A437" s="175"/>
      <c r="B437" s="170"/>
      <c r="C437" s="210"/>
      <c r="D437" s="170"/>
      <c r="E437" s="176">
        <f t="shared" si="6"/>
        <v>2421552.0600000075</v>
      </c>
      <c r="F437" s="185"/>
      <c r="G437" s="185"/>
      <c r="H437" s="185"/>
      <c r="I437" s="185"/>
      <c r="J437" s="185"/>
      <c r="K437" s="185"/>
      <c r="L437" s="185"/>
      <c r="M437" s="190"/>
      <c r="N437" s="190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25">
      <c r="A438" s="175"/>
      <c r="B438" s="170"/>
      <c r="C438" s="210"/>
      <c r="D438" s="170"/>
      <c r="E438" s="176">
        <f t="shared" si="6"/>
        <v>2421552.0600000075</v>
      </c>
      <c r="F438" s="204"/>
      <c r="G438" s="181"/>
      <c r="H438" s="205"/>
      <c r="I438" s="181"/>
      <c r="J438" s="206"/>
      <c r="K438" s="185"/>
      <c r="L438" s="185"/>
      <c r="M438" s="190"/>
      <c r="N438" s="190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25">
      <c r="A439" s="175"/>
      <c r="B439" s="170"/>
      <c r="C439" s="170"/>
      <c r="D439" s="210"/>
      <c r="E439" s="176">
        <f t="shared" si="6"/>
        <v>2421552.0600000075</v>
      </c>
      <c r="F439" s="229"/>
      <c r="G439" s="239"/>
      <c r="H439" s="196"/>
      <c r="I439" s="185"/>
      <c r="J439" s="185"/>
      <c r="K439" s="185"/>
      <c r="L439" s="185"/>
      <c r="M439" s="190"/>
      <c r="N439" s="190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25">
      <c r="A440" s="175"/>
      <c r="B440" s="170"/>
      <c r="C440" s="210"/>
      <c r="D440" s="170"/>
      <c r="E440" s="176">
        <f t="shared" si="6"/>
        <v>2421552.0600000075</v>
      </c>
      <c r="F440" s="185"/>
      <c r="G440" s="185"/>
      <c r="H440" s="185"/>
      <c r="I440" s="185"/>
      <c r="J440" s="185"/>
      <c r="K440" s="185"/>
      <c r="L440" s="185"/>
      <c r="M440" s="190"/>
      <c r="N440" s="190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25">
      <c r="A441" s="175"/>
      <c r="B441" s="170"/>
      <c r="C441" s="210"/>
      <c r="D441" s="170"/>
      <c r="E441" s="176">
        <f t="shared" si="6"/>
        <v>2421552.0600000075</v>
      </c>
      <c r="F441" s="185"/>
      <c r="G441" s="185"/>
      <c r="H441" s="185"/>
      <c r="I441" s="185"/>
      <c r="J441" s="185"/>
      <c r="K441" s="185"/>
      <c r="L441" s="185"/>
      <c r="M441" s="190"/>
      <c r="N441" s="190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25">
      <c r="A442" s="175"/>
      <c r="B442" s="170"/>
      <c r="C442" s="170"/>
      <c r="D442" s="210"/>
      <c r="E442" s="176">
        <f t="shared" si="6"/>
        <v>2421552.0600000075</v>
      </c>
      <c r="F442" s="185"/>
      <c r="G442" s="185"/>
      <c r="H442" s="185"/>
      <c r="I442" s="185"/>
      <c r="J442" s="185"/>
      <c r="K442" s="185"/>
      <c r="L442" s="185"/>
      <c r="M442" s="190"/>
      <c r="N442" s="190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25">
      <c r="A443" s="175"/>
      <c r="B443" s="170"/>
      <c r="C443" s="210"/>
      <c r="D443" s="170"/>
      <c r="E443" s="176">
        <f t="shared" si="6"/>
        <v>2421552.0600000075</v>
      </c>
      <c r="F443" s="211"/>
      <c r="G443" s="83"/>
      <c r="H443" s="212"/>
      <c r="I443" s="183"/>
      <c r="J443" s="84"/>
      <c r="K443" s="248"/>
      <c r="L443" s="185"/>
      <c r="M443" s="190"/>
      <c r="N443" s="190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25">
      <c r="A444" s="175"/>
      <c r="B444" s="170"/>
      <c r="C444" s="210"/>
      <c r="D444" s="170"/>
      <c r="E444" s="176">
        <f t="shared" si="6"/>
        <v>2421552.0600000075</v>
      </c>
      <c r="F444" s="211"/>
      <c r="G444" s="83"/>
      <c r="H444" s="212"/>
      <c r="I444" s="183"/>
      <c r="J444" s="84"/>
      <c r="K444" s="248"/>
      <c r="L444" s="185"/>
      <c r="M444" s="190"/>
      <c r="N444" s="190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25">
      <c r="A445" s="175"/>
      <c r="B445" s="170"/>
      <c r="C445" s="170"/>
      <c r="D445" s="210"/>
      <c r="E445" s="176">
        <f t="shared" si="6"/>
        <v>2421552.0600000075</v>
      </c>
      <c r="F445" s="185"/>
      <c r="G445" s="185"/>
      <c r="H445" s="185"/>
      <c r="I445" s="185"/>
      <c r="J445" s="185"/>
      <c r="K445" s="185"/>
      <c r="L445" s="185"/>
      <c r="M445" s="190"/>
      <c r="N445" s="190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25">
      <c r="A446" s="175"/>
      <c r="B446" s="170"/>
      <c r="C446" s="210"/>
      <c r="D446" s="170"/>
      <c r="E446" s="176">
        <f t="shared" si="6"/>
        <v>2421552.0600000075</v>
      </c>
      <c r="F446" s="237"/>
      <c r="G446" s="181"/>
      <c r="H446" s="182"/>
      <c r="I446" s="185"/>
      <c r="J446" s="185"/>
      <c r="K446" s="185"/>
      <c r="L446" s="185"/>
      <c r="M446" s="190"/>
      <c r="N446" s="190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25">
      <c r="A447" s="175"/>
      <c r="B447" s="170"/>
      <c r="C447" s="210"/>
      <c r="D447" s="170"/>
      <c r="E447" s="176">
        <f t="shared" si="6"/>
        <v>2421552.0600000075</v>
      </c>
      <c r="F447" s="185"/>
      <c r="G447" s="185"/>
      <c r="H447" s="185"/>
      <c r="I447" s="185"/>
      <c r="J447" s="185"/>
      <c r="K447" s="185"/>
      <c r="L447" s="185"/>
      <c r="M447" s="190"/>
      <c r="N447" s="190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25">
      <c r="A448" s="175"/>
      <c r="B448" s="170"/>
      <c r="C448" s="170"/>
      <c r="D448" s="210"/>
      <c r="E448" s="176">
        <f t="shared" si="6"/>
        <v>2421552.0600000075</v>
      </c>
      <c r="F448" s="185"/>
      <c r="G448" s="185"/>
      <c r="H448" s="185"/>
      <c r="I448" s="185"/>
      <c r="J448" s="185"/>
      <c r="K448" s="185"/>
      <c r="L448" s="190"/>
      <c r="M448" s="190"/>
      <c r="N448" s="190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25">
      <c r="A449" s="175"/>
      <c r="B449" s="170"/>
      <c r="C449" s="210"/>
      <c r="D449" s="170"/>
      <c r="E449" s="176">
        <f t="shared" si="6"/>
        <v>2421552.0600000075</v>
      </c>
      <c r="F449" s="234"/>
      <c r="G449" s="239"/>
      <c r="H449" s="190"/>
      <c r="I449" s="190"/>
      <c r="J449" s="190"/>
      <c r="K449" s="182"/>
      <c r="L449" s="190"/>
      <c r="M449" s="190"/>
      <c r="N449" s="190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25">
      <c r="A450" s="175"/>
      <c r="B450" s="170"/>
      <c r="C450" s="210"/>
      <c r="D450" s="170"/>
      <c r="E450" s="176">
        <f t="shared" si="6"/>
        <v>2421552.0600000075</v>
      </c>
      <c r="F450" s="180"/>
      <c r="G450" s="181"/>
      <c r="H450" s="182"/>
      <c r="I450" s="190"/>
      <c r="J450" s="190"/>
      <c r="K450" s="182"/>
      <c r="L450" s="190"/>
      <c r="M450" s="190"/>
      <c r="N450" s="190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25">
      <c r="A451" s="175"/>
      <c r="B451" s="170"/>
      <c r="C451" s="170"/>
      <c r="D451" s="210"/>
      <c r="E451" s="176">
        <f t="shared" si="6"/>
        <v>2421552.0600000075</v>
      </c>
      <c r="F451" s="229"/>
      <c r="G451" s="247"/>
      <c r="H451" s="184"/>
      <c r="I451" s="181"/>
      <c r="J451" s="49"/>
      <c r="K451" s="182"/>
      <c r="L451" s="190"/>
      <c r="M451" s="190"/>
      <c r="N451" s="190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25">
      <c r="A452" s="175"/>
      <c r="B452" s="170"/>
      <c r="C452" s="210"/>
      <c r="D452" s="170"/>
      <c r="E452" s="176">
        <f t="shared" si="6"/>
        <v>2421552.0600000075</v>
      </c>
      <c r="F452" s="229"/>
      <c r="G452" s="239"/>
      <c r="H452" s="196"/>
      <c r="I452" s="190"/>
      <c r="J452" s="190"/>
      <c r="K452" s="182"/>
      <c r="L452" s="190"/>
      <c r="M452" s="190"/>
      <c r="N452" s="190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25">
      <c r="A453" s="175"/>
      <c r="B453" s="170"/>
      <c r="C453" s="210"/>
      <c r="D453" s="170"/>
      <c r="E453" s="176">
        <f t="shared" si="6"/>
        <v>2421552.0600000075</v>
      </c>
      <c r="F453" s="190"/>
      <c r="G453" s="181"/>
      <c r="H453" s="190"/>
      <c r="I453" s="190"/>
      <c r="J453" s="190"/>
      <c r="K453" s="182"/>
      <c r="L453" s="190"/>
      <c r="M453" s="190"/>
      <c r="N453" s="190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25">
      <c r="A454" s="175"/>
      <c r="B454" s="170"/>
      <c r="C454" s="210"/>
      <c r="D454" s="170"/>
      <c r="E454" s="176">
        <f t="shared" si="6"/>
        <v>2421552.0600000075</v>
      </c>
      <c r="F454" s="190"/>
      <c r="G454" s="181"/>
      <c r="H454" s="190"/>
      <c r="I454" s="190"/>
      <c r="J454" s="190"/>
      <c r="K454" s="182"/>
      <c r="L454" s="190"/>
      <c r="M454" s="190"/>
      <c r="N454" s="190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25">
      <c r="A455" s="175"/>
      <c r="B455" s="170"/>
      <c r="C455" s="210"/>
      <c r="D455" s="170"/>
      <c r="E455" s="176">
        <f t="shared" si="6"/>
        <v>2421552.0600000075</v>
      </c>
      <c r="F455" s="190"/>
      <c r="G455" s="181"/>
      <c r="H455" s="190"/>
      <c r="I455" s="190"/>
      <c r="J455" s="190"/>
      <c r="K455" s="182"/>
      <c r="L455" s="190"/>
      <c r="M455" s="190"/>
      <c r="N455" s="190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25">
      <c r="A456" s="175"/>
      <c r="B456" s="170"/>
      <c r="C456" s="170"/>
      <c r="D456" s="210"/>
      <c r="E456" s="176">
        <f t="shared" ref="E456:E519" si="7">E455-C456+D456</f>
        <v>2421552.0600000075</v>
      </c>
      <c r="F456" s="190"/>
      <c r="G456" s="181"/>
      <c r="H456" s="190"/>
      <c r="I456" s="190"/>
      <c r="J456" s="190"/>
      <c r="K456" s="182"/>
      <c r="L456" s="190"/>
      <c r="M456" s="190"/>
      <c r="N456" s="190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25">
      <c r="A457" s="175"/>
      <c r="B457" s="170"/>
      <c r="C457" s="210"/>
      <c r="D457" s="170"/>
      <c r="E457" s="176">
        <f t="shared" si="7"/>
        <v>2421552.0600000075</v>
      </c>
      <c r="F457" s="190"/>
      <c r="G457" s="181"/>
      <c r="H457" s="190"/>
      <c r="I457" s="190"/>
      <c r="J457" s="190"/>
      <c r="K457" s="182"/>
      <c r="L457" s="190"/>
      <c r="M457" s="190"/>
      <c r="N457" s="190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25">
      <c r="A458" s="175"/>
      <c r="B458" s="170"/>
      <c r="C458" s="210"/>
      <c r="D458" s="170"/>
      <c r="E458" s="176">
        <f t="shared" si="7"/>
        <v>2421552.0600000075</v>
      </c>
      <c r="F458" s="190"/>
      <c r="G458" s="181"/>
      <c r="H458" s="190"/>
      <c r="I458" s="190"/>
      <c r="J458" s="190"/>
      <c r="K458" s="182"/>
      <c r="L458" s="190"/>
      <c r="M458" s="190"/>
      <c r="N458" s="190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25">
      <c r="A459" s="175"/>
      <c r="B459" s="170"/>
      <c r="C459" s="170"/>
      <c r="D459" s="210"/>
      <c r="E459" s="176">
        <f t="shared" si="7"/>
        <v>2421552.0600000075</v>
      </c>
      <c r="F459" s="211"/>
      <c r="G459" s="83"/>
      <c r="H459" s="212"/>
      <c r="I459" s="183"/>
      <c r="J459" s="84"/>
      <c r="K459" s="248"/>
      <c r="L459" s="190"/>
      <c r="M459" s="190"/>
      <c r="N459" s="190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25">
      <c r="A460" s="175"/>
      <c r="B460" s="170"/>
      <c r="C460" s="210"/>
      <c r="D460" s="170"/>
      <c r="E460" s="176">
        <f t="shared" si="7"/>
        <v>2421552.0600000075</v>
      </c>
      <c r="F460" s="190"/>
      <c r="G460" s="181"/>
      <c r="H460" s="190"/>
      <c r="I460" s="190"/>
      <c r="J460" s="190"/>
      <c r="K460" s="182"/>
      <c r="L460" s="190"/>
      <c r="M460" s="190"/>
      <c r="N460" s="190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25">
      <c r="A461" s="175"/>
      <c r="B461" s="170"/>
      <c r="C461" s="210"/>
      <c r="D461" s="170"/>
      <c r="E461" s="176">
        <f t="shared" si="7"/>
        <v>2421552.0600000075</v>
      </c>
      <c r="F461" s="204"/>
      <c r="G461" s="181"/>
      <c r="H461" s="205"/>
      <c r="I461" s="181"/>
      <c r="J461" s="206"/>
      <c r="K461" s="182"/>
      <c r="L461" s="190"/>
      <c r="M461" s="190"/>
      <c r="N461" s="190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25">
      <c r="A462" s="101"/>
      <c r="B462" s="102"/>
      <c r="C462" s="129"/>
      <c r="D462" s="149"/>
      <c r="E462" s="176">
        <f t="shared" si="7"/>
        <v>2421552.0600000075</v>
      </c>
      <c r="F462" s="75"/>
      <c r="G462" s="119"/>
      <c r="H462" s="35"/>
      <c r="I462" s="35"/>
      <c r="J462" s="35"/>
      <c r="K462" s="37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25">
      <c r="A463" s="101"/>
      <c r="B463" s="102"/>
      <c r="C463" s="128"/>
      <c r="D463" s="129"/>
      <c r="E463" s="176">
        <f t="shared" si="7"/>
        <v>2421552.0600000075</v>
      </c>
      <c r="F463" s="35"/>
      <c r="G463" s="36"/>
      <c r="H463" s="35"/>
      <c r="I463" s="35"/>
      <c r="J463" s="35"/>
      <c r="K463" s="37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25">
      <c r="A464" s="101"/>
      <c r="B464" s="102"/>
      <c r="C464" s="128"/>
      <c r="D464" s="129"/>
      <c r="E464" s="176">
        <f t="shared" si="7"/>
        <v>2421552.0600000075</v>
      </c>
      <c r="I464" s="35"/>
      <c r="J464" s="35"/>
      <c r="K464" s="37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25">
      <c r="A465" s="101"/>
      <c r="B465" s="102"/>
      <c r="C465" s="129"/>
      <c r="D465" s="128"/>
      <c r="E465" s="176">
        <f t="shared" si="7"/>
        <v>2421552.0600000075</v>
      </c>
      <c r="I465" s="35"/>
      <c r="J465" s="35"/>
      <c r="K465" s="37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25">
      <c r="A466" s="101"/>
      <c r="B466" s="102"/>
      <c r="C466" s="128"/>
      <c r="D466" s="129"/>
      <c r="E466" s="176">
        <f t="shared" si="7"/>
        <v>2421552.0600000075</v>
      </c>
      <c r="I466" s="35"/>
      <c r="J466" s="35"/>
      <c r="K466" s="37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25">
      <c r="A467" s="101"/>
      <c r="B467" s="102"/>
      <c r="C467" s="128"/>
      <c r="D467" s="129"/>
      <c r="E467" s="176">
        <f t="shared" si="7"/>
        <v>2421552.0600000075</v>
      </c>
      <c r="F467" s="107"/>
      <c r="G467" s="36"/>
      <c r="H467" s="37"/>
      <c r="I467" s="35"/>
      <c r="J467" s="35"/>
      <c r="K467" s="37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25">
      <c r="A468" s="101"/>
      <c r="B468" s="102"/>
      <c r="C468" s="129"/>
      <c r="D468" s="128"/>
      <c r="E468" s="176">
        <f t="shared" si="7"/>
        <v>2421552.0600000075</v>
      </c>
      <c r="F468" s="71"/>
      <c r="G468" s="94"/>
      <c r="H468" s="108"/>
      <c r="I468" s="35"/>
      <c r="J468" s="35"/>
      <c r="K468" s="37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25">
      <c r="A469" s="101"/>
      <c r="B469" s="102"/>
      <c r="C469" s="128"/>
      <c r="D469" s="129"/>
      <c r="E469" s="176">
        <f t="shared" si="7"/>
        <v>2421552.0600000075</v>
      </c>
      <c r="F469" s="35"/>
      <c r="G469" s="36"/>
      <c r="H469" s="35"/>
      <c r="I469" s="35"/>
      <c r="J469" s="35"/>
      <c r="K469" s="37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25">
      <c r="A470" s="101"/>
      <c r="B470" s="102"/>
      <c r="C470" s="128"/>
      <c r="D470" s="129"/>
      <c r="E470" s="176">
        <f t="shared" si="7"/>
        <v>2421552.0600000075</v>
      </c>
      <c r="F470" s="35"/>
      <c r="G470" s="36"/>
      <c r="H470" s="35"/>
      <c r="I470" s="35"/>
      <c r="J470" s="35"/>
      <c r="K470" s="37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25">
      <c r="A471" s="101"/>
      <c r="B471" s="102"/>
      <c r="C471" s="129"/>
      <c r="D471" s="128"/>
      <c r="E471" s="176">
        <f t="shared" si="7"/>
        <v>2421552.0600000075</v>
      </c>
      <c r="F471" s="35"/>
      <c r="G471" s="36"/>
      <c r="H471" s="35"/>
      <c r="I471" s="35"/>
      <c r="J471" s="35"/>
      <c r="K471" s="37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25">
      <c r="A472" s="101"/>
      <c r="B472" s="102"/>
      <c r="C472" s="128"/>
      <c r="D472" s="129"/>
      <c r="E472" s="176">
        <f t="shared" si="7"/>
        <v>2421552.0600000075</v>
      </c>
      <c r="F472" s="35"/>
      <c r="G472" s="36"/>
      <c r="H472" s="35"/>
      <c r="I472" s="35"/>
      <c r="J472" s="35"/>
      <c r="K472" s="37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25">
      <c r="A473" s="101"/>
      <c r="B473" s="102"/>
      <c r="C473" s="128"/>
      <c r="D473" s="129"/>
      <c r="E473" s="176">
        <f t="shared" si="7"/>
        <v>2421552.0600000075</v>
      </c>
      <c r="F473" s="106"/>
      <c r="G473" s="48"/>
      <c r="H473" s="35"/>
      <c r="I473" s="35"/>
      <c r="J473" s="35"/>
      <c r="K473" s="37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25">
      <c r="A474" s="101"/>
      <c r="B474" s="102"/>
      <c r="C474" s="129"/>
      <c r="D474" s="149"/>
      <c r="E474" s="176">
        <f t="shared" si="7"/>
        <v>2421552.0600000075</v>
      </c>
      <c r="F474" s="75"/>
      <c r="G474" s="96"/>
      <c r="H474" s="35"/>
      <c r="I474" s="35"/>
      <c r="J474" s="35"/>
      <c r="K474" s="37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25">
      <c r="A475" s="101"/>
      <c r="B475" s="102"/>
      <c r="C475" s="128"/>
      <c r="D475" s="129"/>
      <c r="E475" s="176">
        <f t="shared" si="7"/>
        <v>2421552.0600000075</v>
      </c>
      <c r="F475" s="111"/>
      <c r="G475" s="83"/>
      <c r="H475" s="115"/>
      <c r="I475" s="113"/>
      <c r="J475" s="84"/>
      <c r="K475" s="116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25">
      <c r="A476" s="101"/>
      <c r="B476" s="102"/>
      <c r="C476" s="128"/>
      <c r="D476" s="129"/>
      <c r="E476" s="176">
        <f t="shared" si="7"/>
        <v>2421552.0600000075</v>
      </c>
      <c r="F476" s="109"/>
      <c r="G476" s="94"/>
      <c r="H476" s="35"/>
      <c r="I476" s="35"/>
      <c r="J476" s="35"/>
      <c r="K476" s="37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25">
      <c r="A477" s="101"/>
      <c r="B477" s="102"/>
      <c r="C477" s="129"/>
      <c r="D477" s="128"/>
      <c r="E477" s="176">
        <f t="shared" si="7"/>
        <v>2421552.0600000075</v>
      </c>
      <c r="F477" s="35"/>
      <c r="G477" s="36"/>
      <c r="H477" s="35"/>
      <c r="I477" s="35"/>
      <c r="J477" s="35"/>
      <c r="K477" s="37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25">
      <c r="A478" s="101"/>
      <c r="B478" s="102"/>
      <c r="C478" s="128"/>
      <c r="D478" s="129"/>
      <c r="E478" s="176">
        <f t="shared" si="7"/>
        <v>2421552.0600000075</v>
      </c>
      <c r="F478" s="35"/>
      <c r="G478" s="36"/>
      <c r="H478" s="35"/>
      <c r="I478" s="35"/>
      <c r="J478" s="35"/>
      <c r="K478" s="37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25">
      <c r="A479" s="101"/>
      <c r="B479" s="102"/>
      <c r="C479" s="128"/>
      <c r="D479" s="129"/>
      <c r="E479" s="176">
        <f t="shared" si="7"/>
        <v>2421552.0600000075</v>
      </c>
      <c r="F479" s="107"/>
      <c r="G479" s="36"/>
      <c r="H479" s="37"/>
      <c r="I479" s="35"/>
      <c r="J479" s="35"/>
      <c r="K479" s="37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25">
      <c r="A480" s="101"/>
      <c r="B480" s="102"/>
      <c r="C480" s="129"/>
      <c r="D480" s="128"/>
      <c r="E480" s="176">
        <f t="shared" si="7"/>
        <v>2421552.0600000075</v>
      </c>
      <c r="F480" s="71"/>
      <c r="G480" s="94"/>
      <c r="H480" s="108"/>
      <c r="I480" s="35"/>
      <c r="J480" s="35"/>
      <c r="K480" s="37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25">
      <c r="A481" s="101"/>
      <c r="B481" s="102"/>
      <c r="C481" s="128"/>
      <c r="D481" s="129"/>
      <c r="E481" s="176">
        <f t="shared" si="7"/>
        <v>2421552.0600000075</v>
      </c>
      <c r="F481" s="104"/>
      <c r="G481" s="36"/>
      <c r="H481" s="37"/>
      <c r="I481" s="35"/>
      <c r="J481" s="35"/>
      <c r="K481" s="37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25">
      <c r="A482" s="101"/>
      <c r="B482" s="102"/>
      <c r="C482" s="128"/>
      <c r="D482" s="129"/>
      <c r="E482" s="176">
        <f t="shared" si="7"/>
        <v>2421552.0600000075</v>
      </c>
      <c r="F482" s="71"/>
      <c r="G482" s="94"/>
      <c r="H482" s="106"/>
      <c r="I482" s="35"/>
      <c r="J482" s="35"/>
      <c r="K482" s="37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25">
      <c r="A483" s="101"/>
      <c r="B483" s="102"/>
      <c r="C483" s="128"/>
      <c r="D483" s="129"/>
      <c r="E483" s="176">
        <f t="shared" si="7"/>
        <v>2421552.0600000075</v>
      </c>
      <c r="F483" s="35"/>
      <c r="G483" s="36"/>
      <c r="H483" s="35"/>
      <c r="I483" s="35"/>
      <c r="J483" s="35"/>
      <c r="K483" s="37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25">
      <c r="A484" s="101"/>
      <c r="B484" s="102"/>
      <c r="C484" s="129"/>
      <c r="D484" s="128"/>
      <c r="E484" s="176">
        <f t="shared" si="7"/>
        <v>2421552.0600000075</v>
      </c>
      <c r="I484" s="35"/>
      <c r="J484" s="35"/>
      <c r="K484" s="37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25">
      <c r="A485" s="101"/>
      <c r="B485" s="102"/>
      <c r="C485" s="128"/>
      <c r="D485" s="129"/>
      <c r="E485" s="176">
        <f t="shared" si="7"/>
        <v>2421552.0600000075</v>
      </c>
      <c r="I485" s="35"/>
      <c r="J485" s="35"/>
      <c r="K485" s="37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25">
      <c r="A486" s="101"/>
      <c r="B486" s="102"/>
      <c r="C486" s="128"/>
      <c r="D486" s="129"/>
      <c r="E486" s="176">
        <f t="shared" si="7"/>
        <v>2421552.0600000075</v>
      </c>
      <c r="F486" s="35"/>
      <c r="G486" s="36"/>
      <c r="H486" s="35"/>
      <c r="I486" s="35"/>
      <c r="J486" s="35"/>
      <c r="K486" s="37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25">
      <c r="A487" s="101"/>
      <c r="B487" s="102"/>
      <c r="C487" s="129"/>
      <c r="D487" s="149"/>
      <c r="E487" s="176">
        <f t="shared" si="7"/>
        <v>2421552.0600000075</v>
      </c>
      <c r="F487" s="97"/>
      <c r="G487" s="83"/>
      <c r="H487" s="115"/>
      <c r="I487" s="113"/>
      <c r="J487" s="84"/>
      <c r="K487" s="116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25">
      <c r="A488" s="101"/>
      <c r="B488" s="102"/>
      <c r="C488" s="128"/>
      <c r="D488" s="129"/>
      <c r="E488" s="176">
        <f t="shared" si="7"/>
        <v>2421552.0600000075</v>
      </c>
      <c r="F488" s="111"/>
      <c r="G488" s="36"/>
      <c r="H488" s="35"/>
      <c r="I488" s="35"/>
      <c r="J488" s="35"/>
      <c r="K488" s="37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25">
      <c r="A489" s="101"/>
      <c r="B489" s="102"/>
      <c r="C489" s="128"/>
      <c r="D489" s="129"/>
      <c r="E489" s="176">
        <f t="shared" si="7"/>
        <v>2421552.0600000075</v>
      </c>
      <c r="F489" s="111"/>
      <c r="G489" s="83"/>
      <c r="H489" s="112"/>
      <c r="I489" s="113"/>
      <c r="J489" s="84"/>
      <c r="K489" s="114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25">
      <c r="A490" s="101"/>
      <c r="B490" s="102"/>
      <c r="C490" s="129"/>
      <c r="D490" s="128"/>
      <c r="E490" s="176">
        <f t="shared" si="7"/>
        <v>2421552.0600000075</v>
      </c>
      <c r="F490" s="111"/>
      <c r="G490" s="36"/>
      <c r="H490" s="35"/>
      <c r="I490" s="35"/>
      <c r="J490" s="35"/>
      <c r="K490" s="37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25">
      <c r="A491" s="101"/>
      <c r="B491" s="102"/>
      <c r="C491" s="128"/>
      <c r="D491" s="129"/>
      <c r="E491" s="176">
        <f t="shared" si="7"/>
        <v>2421552.0600000075</v>
      </c>
      <c r="F491" s="111"/>
      <c r="G491" s="36"/>
      <c r="H491" s="35"/>
      <c r="I491" s="35"/>
      <c r="J491" s="35"/>
      <c r="K491" s="37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25">
      <c r="A492" s="101"/>
      <c r="B492" s="102"/>
      <c r="C492" s="128"/>
      <c r="D492" s="129"/>
      <c r="E492" s="176">
        <f t="shared" si="7"/>
        <v>2421552.0600000075</v>
      </c>
      <c r="F492" s="111"/>
      <c r="G492" s="36"/>
      <c r="H492" s="35"/>
      <c r="I492" s="35"/>
      <c r="J492" s="35"/>
      <c r="K492" s="37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25">
      <c r="A493" s="101"/>
      <c r="B493" s="102"/>
      <c r="C493" s="129"/>
      <c r="D493" s="128"/>
      <c r="E493" s="176">
        <f t="shared" si="7"/>
        <v>2421552.0600000075</v>
      </c>
      <c r="F493" s="111"/>
      <c r="G493" s="36"/>
      <c r="H493" s="35"/>
      <c r="I493" s="35"/>
      <c r="J493" s="35"/>
      <c r="K493" s="37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25">
      <c r="A494" s="101"/>
      <c r="B494" s="102"/>
      <c r="C494" s="128"/>
      <c r="D494" s="129"/>
      <c r="E494" s="176">
        <f t="shared" si="7"/>
        <v>2421552.0600000075</v>
      </c>
      <c r="F494" s="111"/>
      <c r="G494" s="36"/>
      <c r="H494" s="35"/>
      <c r="I494" s="35"/>
      <c r="J494" s="35"/>
      <c r="K494" s="37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25">
      <c r="A495" s="101"/>
      <c r="B495" s="102"/>
      <c r="C495" s="128"/>
      <c r="D495" s="129"/>
      <c r="E495" s="176">
        <f t="shared" si="7"/>
        <v>2421552.0600000075</v>
      </c>
      <c r="F495" s="107"/>
      <c r="G495" s="36"/>
      <c r="H495" s="37"/>
      <c r="I495" s="35"/>
      <c r="J495" s="35"/>
      <c r="K495" s="37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25">
      <c r="A496" s="101"/>
      <c r="B496" s="102"/>
      <c r="C496" s="129"/>
      <c r="D496" s="128"/>
      <c r="E496" s="176">
        <f t="shared" si="7"/>
        <v>2421552.0600000075</v>
      </c>
      <c r="F496" s="71"/>
      <c r="G496" s="94"/>
      <c r="H496" s="108"/>
      <c r="I496" s="35"/>
      <c r="J496" s="35"/>
      <c r="K496" s="37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25">
      <c r="A497" s="101"/>
      <c r="B497" s="102"/>
      <c r="C497" s="128"/>
      <c r="D497" s="129"/>
      <c r="E497" s="176">
        <f t="shared" si="7"/>
        <v>2421552.0600000075</v>
      </c>
      <c r="F497" s="111"/>
      <c r="G497" s="94"/>
      <c r="H497" s="35"/>
      <c r="I497" s="35"/>
      <c r="J497" s="35"/>
      <c r="K497" s="37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25">
      <c r="A498" s="101"/>
      <c r="B498" s="102"/>
      <c r="C498" s="128"/>
      <c r="D498" s="129"/>
      <c r="E498" s="176">
        <f t="shared" si="7"/>
        <v>2421552.0600000075</v>
      </c>
      <c r="F498" s="111"/>
      <c r="G498" s="36"/>
      <c r="H498" s="35"/>
      <c r="I498" s="35"/>
      <c r="J498" s="35"/>
      <c r="K498" s="37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25">
      <c r="A499" s="101"/>
      <c r="B499" s="102"/>
      <c r="C499" s="129"/>
      <c r="D499" s="128"/>
      <c r="E499" s="176">
        <f t="shared" si="7"/>
        <v>2421552.0600000075</v>
      </c>
      <c r="F499" s="111"/>
      <c r="G499" s="74"/>
      <c r="H499" s="69"/>
      <c r="I499" s="36"/>
      <c r="J499" s="49"/>
      <c r="K499" s="37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25">
      <c r="A500" s="101"/>
      <c r="B500" s="102"/>
      <c r="C500" s="128"/>
      <c r="D500" s="129"/>
      <c r="E500" s="176">
        <f t="shared" si="7"/>
        <v>2421552.0600000075</v>
      </c>
      <c r="F500" s="111"/>
      <c r="G500" s="36"/>
      <c r="H500" s="35"/>
      <c r="I500" s="35"/>
      <c r="J500" s="35"/>
      <c r="K500" s="37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25">
      <c r="A501" s="101"/>
      <c r="B501" s="102"/>
      <c r="C501" s="128"/>
      <c r="D501" s="129"/>
      <c r="E501" s="176">
        <f t="shared" si="7"/>
        <v>2421552.0600000075</v>
      </c>
      <c r="F501" s="35"/>
      <c r="G501" s="36"/>
      <c r="H501" s="35"/>
      <c r="I501" s="35"/>
      <c r="J501" s="35"/>
      <c r="K501" s="37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25">
      <c r="A502" s="101"/>
      <c r="B502" s="102"/>
      <c r="C502" s="129"/>
      <c r="D502" s="149"/>
      <c r="E502" s="176">
        <f t="shared" si="7"/>
        <v>2421552.0600000075</v>
      </c>
      <c r="F502" s="75"/>
      <c r="G502" s="82"/>
      <c r="H502" s="106"/>
      <c r="I502" s="35"/>
      <c r="J502" s="35"/>
      <c r="K502" s="37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25">
      <c r="A503" s="101"/>
      <c r="B503" s="102"/>
      <c r="C503" s="128"/>
      <c r="D503" s="129"/>
      <c r="E503" s="176">
        <f t="shared" si="7"/>
        <v>2421552.0600000075</v>
      </c>
      <c r="F503" s="35"/>
      <c r="G503" s="36"/>
      <c r="H503" s="35"/>
      <c r="I503" s="35"/>
      <c r="J503" s="35"/>
      <c r="K503" s="37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25">
      <c r="A504" s="101"/>
      <c r="B504" s="102"/>
      <c r="C504" s="128"/>
      <c r="D504" s="129"/>
      <c r="E504" s="176">
        <f t="shared" si="7"/>
        <v>2421552.0600000075</v>
      </c>
      <c r="F504" s="111"/>
      <c r="G504" s="83"/>
      <c r="H504" s="112"/>
      <c r="I504" s="113"/>
      <c r="J504" s="84"/>
      <c r="K504" s="114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25">
      <c r="A505" s="101"/>
      <c r="B505" s="102"/>
      <c r="C505" s="128"/>
      <c r="D505" s="129"/>
      <c r="E505" s="176">
        <f t="shared" si="7"/>
        <v>2421552.0600000075</v>
      </c>
      <c r="F505" s="35"/>
      <c r="G505" s="36"/>
      <c r="H505" s="35"/>
      <c r="I505" s="35"/>
      <c r="J505" s="35"/>
      <c r="K505" s="37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25">
      <c r="A506" s="101"/>
      <c r="B506" s="102"/>
      <c r="C506" s="129"/>
      <c r="D506" s="128"/>
      <c r="E506" s="176">
        <f t="shared" si="7"/>
        <v>2421552.0600000075</v>
      </c>
      <c r="F506" s="35"/>
      <c r="G506" s="36"/>
      <c r="H506" s="35"/>
      <c r="I506" s="35"/>
      <c r="J506" s="35"/>
      <c r="K506" s="37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25">
      <c r="A507" s="101"/>
      <c r="B507" s="102"/>
      <c r="C507" s="128"/>
      <c r="D507" s="129"/>
      <c r="E507" s="176">
        <f t="shared" si="7"/>
        <v>2421552.0600000075</v>
      </c>
      <c r="F507" s="35"/>
      <c r="G507" s="36"/>
      <c r="H507" s="35"/>
      <c r="I507" s="35"/>
      <c r="J507" s="35"/>
      <c r="K507" s="37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25">
      <c r="A508" s="101"/>
      <c r="B508" s="102"/>
      <c r="C508" s="128"/>
      <c r="D508" s="129"/>
      <c r="E508" s="176">
        <f t="shared" si="7"/>
        <v>2421552.0600000075</v>
      </c>
      <c r="F508" s="35"/>
      <c r="G508" s="36"/>
      <c r="H508" s="35"/>
      <c r="I508" s="35"/>
      <c r="J508" s="35"/>
      <c r="K508" s="37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25">
      <c r="A509" s="101"/>
      <c r="B509" s="102"/>
      <c r="C509" s="129"/>
      <c r="D509" s="128"/>
      <c r="E509" s="176">
        <f t="shared" si="7"/>
        <v>2421552.0600000075</v>
      </c>
      <c r="F509" s="35"/>
      <c r="G509" s="36"/>
      <c r="H509" s="35"/>
      <c r="I509" s="35"/>
      <c r="J509" s="35"/>
      <c r="K509" s="37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25">
      <c r="A510" s="101"/>
      <c r="B510" s="102"/>
      <c r="C510" s="128"/>
      <c r="D510" s="129"/>
      <c r="E510" s="176">
        <f t="shared" si="7"/>
        <v>2421552.0600000075</v>
      </c>
      <c r="F510" s="35"/>
      <c r="G510" s="36"/>
      <c r="H510" s="35"/>
      <c r="I510" s="35"/>
      <c r="J510" s="35"/>
      <c r="K510" s="37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25">
      <c r="A511" s="101"/>
      <c r="B511" s="102"/>
      <c r="C511" s="128"/>
      <c r="D511" s="129"/>
      <c r="E511" s="176">
        <f t="shared" si="7"/>
        <v>2421552.0600000075</v>
      </c>
      <c r="F511" s="107"/>
      <c r="G511" s="36"/>
      <c r="H511" s="37"/>
      <c r="I511" s="35"/>
      <c r="J511" s="35"/>
      <c r="K511" s="37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25">
      <c r="A512" s="101"/>
      <c r="B512" s="102"/>
      <c r="C512" s="129"/>
      <c r="D512" s="128"/>
      <c r="E512" s="176">
        <f t="shared" si="7"/>
        <v>2421552.0600000075</v>
      </c>
      <c r="F512" s="71"/>
      <c r="G512" s="94"/>
      <c r="H512" s="108"/>
      <c r="I512" s="35"/>
      <c r="J512" s="35"/>
      <c r="K512" s="37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25">
      <c r="A513" s="101"/>
      <c r="B513" s="102"/>
      <c r="C513" s="128"/>
      <c r="D513" s="129"/>
      <c r="E513" s="176">
        <f t="shared" si="7"/>
        <v>2421552.0600000075</v>
      </c>
      <c r="F513" s="35"/>
      <c r="G513" s="36"/>
      <c r="H513" s="35"/>
      <c r="I513" s="35"/>
      <c r="J513" s="35"/>
      <c r="K513" s="37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25">
      <c r="A514" s="101"/>
      <c r="B514" s="102"/>
      <c r="C514" s="128"/>
      <c r="D514" s="129"/>
      <c r="E514" s="176">
        <f t="shared" si="7"/>
        <v>2421552.0600000075</v>
      </c>
      <c r="F514" s="35"/>
      <c r="G514" s="36"/>
      <c r="H514" s="35"/>
      <c r="I514" s="35"/>
      <c r="J514" s="35"/>
      <c r="K514" s="37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25">
      <c r="A515" s="101"/>
      <c r="B515" s="102"/>
      <c r="C515" s="129"/>
      <c r="D515" s="128"/>
      <c r="E515" s="176">
        <f t="shared" si="7"/>
        <v>2421552.0600000075</v>
      </c>
      <c r="F515" s="35"/>
      <c r="G515" s="36"/>
      <c r="H515" s="35"/>
      <c r="I515" s="35"/>
      <c r="J515" s="35"/>
      <c r="K515" s="37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25">
      <c r="A516" s="101"/>
      <c r="B516" s="102"/>
      <c r="C516" s="128"/>
      <c r="D516" s="129"/>
      <c r="E516" s="176">
        <f t="shared" si="7"/>
        <v>2421552.0600000075</v>
      </c>
      <c r="F516" s="35"/>
      <c r="G516" s="36"/>
      <c r="H516" s="35"/>
      <c r="I516" s="35"/>
      <c r="J516" s="35"/>
      <c r="K516" s="37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25">
      <c r="A517" s="101"/>
      <c r="B517" s="102"/>
      <c r="C517" s="128"/>
      <c r="D517" s="129"/>
      <c r="E517" s="176">
        <f t="shared" si="7"/>
        <v>2421552.0600000075</v>
      </c>
      <c r="F517" s="35"/>
      <c r="G517" s="36"/>
      <c r="H517" s="35"/>
      <c r="I517" s="35"/>
      <c r="J517" s="35"/>
      <c r="K517" s="37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25">
      <c r="A518" s="101"/>
      <c r="B518" s="102"/>
      <c r="C518" s="129"/>
      <c r="D518" s="128"/>
      <c r="E518" s="176">
        <f t="shared" si="7"/>
        <v>2421552.0600000075</v>
      </c>
      <c r="F518" s="35"/>
      <c r="G518" s="36"/>
      <c r="H518" s="35"/>
      <c r="I518" s="35"/>
      <c r="J518" s="35"/>
      <c r="K518" s="37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25">
      <c r="A519" s="101"/>
      <c r="B519" s="102"/>
      <c r="C519" s="128"/>
      <c r="D519" s="129"/>
      <c r="E519" s="176">
        <f t="shared" si="7"/>
        <v>2421552.0600000075</v>
      </c>
      <c r="F519" s="35"/>
      <c r="G519" s="36"/>
      <c r="H519" s="35"/>
      <c r="I519" s="35"/>
      <c r="J519" s="35"/>
      <c r="K519" s="37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25">
      <c r="A520" s="101"/>
      <c r="B520" s="102"/>
      <c r="C520" s="128"/>
      <c r="D520" s="129"/>
      <c r="E520" s="176">
        <f t="shared" ref="E520" si="8">E519-C520+D520</f>
        <v>2421552.0600000075</v>
      </c>
      <c r="F520" s="111"/>
      <c r="G520" s="83"/>
      <c r="H520" s="112"/>
      <c r="I520" s="113"/>
      <c r="J520" s="84"/>
      <c r="K520" s="114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25">
      <c r="A521" s="39"/>
      <c r="B521" s="39"/>
      <c r="C521" s="150"/>
      <c r="D521" s="150"/>
      <c r="E521" s="39"/>
      <c r="F521" s="35"/>
      <c r="G521" s="36"/>
      <c r="H521" s="35"/>
      <c r="I521" s="35"/>
      <c r="J521" s="35"/>
      <c r="K521" s="37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thickBot="1" x14ac:dyDescent="0.3">
      <c r="A522" s="39"/>
      <c r="B522" s="2" t="s">
        <v>12</v>
      </c>
      <c r="C522" s="151">
        <f>SUM(C6:C500)</f>
        <v>4318794.299999998</v>
      </c>
      <c r="D522" s="151">
        <f>SUM(D6:D500)</f>
        <v>4664729.160000002</v>
      </c>
      <c r="E522" s="39"/>
      <c r="F522" s="35"/>
      <c r="G522" s="36"/>
      <c r="H522" s="35"/>
      <c r="I522" s="35"/>
      <c r="J522" s="35"/>
      <c r="K522" s="37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thickTop="1" x14ac:dyDescent="0.25">
      <c r="A523" s="39"/>
      <c r="B523" s="2"/>
      <c r="C523" s="152"/>
      <c r="D523" s="152"/>
      <c r="E523" s="39"/>
      <c r="F523" s="35"/>
      <c r="G523" s="36"/>
      <c r="H523" s="35"/>
      <c r="I523" s="35"/>
      <c r="J523" s="35"/>
      <c r="K523" s="37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thickBot="1" x14ac:dyDescent="0.3">
      <c r="A524" s="39"/>
      <c r="B524" s="2" t="s">
        <v>13</v>
      </c>
      <c r="C524" s="151">
        <v>7577724.0300000003</v>
      </c>
      <c r="D524" s="151">
        <v>8290049.04</v>
      </c>
      <c r="E524" s="39"/>
      <c r="F524" s="35"/>
      <c r="G524" s="36"/>
      <c r="H524" s="35"/>
      <c r="I524" s="35"/>
      <c r="J524" s="35"/>
      <c r="K524" s="37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thickTop="1" x14ac:dyDescent="0.25">
      <c r="A525" s="39"/>
      <c r="B525" s="2"/>
      <c r="C525" s="152"/>
      <c r="D525" s="152"/>
      <c r="E525" s="39"/>
      <c r="F525" s="35"/>
      <c r="G525" s="36"/>
      <c r="H525" s="35"/>
      <c r="I525" s="35"/>
      <c r="J525" s="35"/>
      <c r="K525" s="37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thickBot="1" x14ac:dyDescent="0.3">
      <c r="A526" s="39"/>
      <c r="B526" s="2" t="s">
        <v>14</v>
      </c>
      <c r="C526" s="153">
        <f>+C522-C524</f>
        <v>-3258929.7300000023</v>
      </c>
      <c r="D526" s="153">
        <f>+D522-D524</f>
        <v>-3625319.879999998</v>
      </c>
      <c r="E526" s="39"/>
      <c r="F526" s="35"/>
      <c r="G526" s="36"/>
      <c r="H526" s="35"/>
      <c r="I526" s="35"/>
      <c r="J526" s="35"/>
      <c r="K526" s="37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thickTop="1" x14ac:dyDescent="0.25">
      <c r="A527" s="39"/>
      <c r="B527" s="39"/>
      <c r="C527" s="150"/>
      <c r="D527" s="150"/>
      <c r="E527" s="39"/>
      <c r="F527" s="35"/>
      <c r="G527" s="36"/>
      <c r="H527" s="35"/>
      <c r="I527" s="35"/>
      <c r="J527" s="35"/>
      <c r="K527" s="37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25">
      <c r="A528" s="39"/>
      <c r="B528" s="39"/>
      <c r="C528" s="150"/>
      <c r="D528" s="150"/>
      <c r="E528" s="39"/>
      <c r="F528" s="35"/>
      <c r="G528" s="36"/>
      <c r="H528" s="35"/>
      <c r="I528" s="35"/>
      <c r="J528" s="35"/>
      <c r="K528" s="37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25">
      <c r="A529" s="39"/>
      <c r="F529" s="35"/>
      <c r="G529" s="36"/>
      <c r="H529" s="35"/>
      <c r="I529" s="35"/>
      <c r="J529" s="35"/>
      <c r="K529" s="37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25">
      <c r="A530" s="39"/>
      <c r="F530" s="35"/>
      <c r="G530" s="36"/>
      <c r="H530" s="35"/>
      <c r="I530" s="35"/>
      <c r="J530" s="35"/>
      <c r="K530" s="37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25">
      <c r="A531" s="39"/>
      <c r="F531" s="35"/>
      <c r="G531" s="36"/>
      <c r="H531" s="35"/>
      <c r="I531" s="35"/>
      <c r="J531" s="35"/>
      <c r="K531" s="37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25">
      <c r="A532" s="39"/>
      <c r="B532" s="39"/>
      <c r="C532" s="150"/>
      <c r="D532" s="150"/>
      <c r="E532" s="39"/>
      <c r="F532" s="35"/>
      <c r="G532" s="36"/>
      <c r="H532" s="35"/>
      <c r="I532" s="35"/>
      <c r="J532" s="35"/>
      <c r="K532" s="37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25">
      <c r="A533" s="39"/>
      <c r="B533" s="39"/>
      <c r="C533" s="150"/>
      <c r="D533" s="150"/>
      <c r="E533" s="39"/>
      <c r="F533" s="35"/>
      <c r="G533" s="36"/>
      <c r="H533" s="35"/>
      <c r="I533" s="35"/>
      <c r="J533" s="35"/>
      <c r="K533" s="37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25">
      <c r="A534" s="39"/>
      <c r="B534" s="39"/>
      <c r="C534" s="150"/>
      <c r="D534" s="150"/>
      <c r="E534" s="39"/>
      <c r="F534" s="35"/>
      <c r="G534" s="36"/>
      <c r="H534" s="35"/>
      <c r="I534" s="35"/>
      <c r="J534" s="35"/>
      <c r="K534" s="37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25">
      <c r="A535" s="39"/>
      <c r="B535" s="39"/>
      <c r="C535" s="150"/>
      <c r="D535" s="150"/>
      <c r="E535" s="39"/>
      <c r="F535" s="35"/>
      <c r="G535" s="36"/>
      <c r="H535" s="35"/>
      <c r="I535" s="35"/>
      <c r="J535" s="35"/>
      <c r="K535" s="37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25">
      <c r="A536" s="39"/>
      <c r="B536" s="39"/>
      <c r="C536" s="150"/>
      <c r="D536" s="150"/>
      <c r="E536" s="39"/>
      <c r="F536" s="35"/>
      <c r="G536" s="36"/>
      <c r="H536" s="35"/>
      <c r="I536" s="35"/>
      <c r="J536" s="35"/>
      <c r="K536" s="37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25">
      <c r="A537" s="39"/>
      <c r="B537" s="39"/>
      <c r="C537" s="150"/>
      <c r="D537" s="150"/>
      <c r="E537" s="39"/>
      <c r="F537" s="35"/>
      <c r="G537" s="36"/>
      <c r="H537" s="35"/>
      <c r="I537" s="35"/>
      <c r="J537" s="35"/>
      <c r="K537" s="37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25">
      <c r="A538" s="39"/>
      <c r="B538" s="39"/>
      <c r="C538" s="150"/>
      <c r="D538" s="150"/>
      <c r="E538" s="39"/>
      <c r="F538" s="35"/>
      <c r="G538" s="36"/>
      <c r="H538" s="35"/>
      <c r="I538" s="35"/>
      <c r="J538" s="35"/>
      <c r="K538" s="37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25">
      <c r="A539" s="39"/>
      <c r="B539" s="39"/>
      <c r="C539" s="150"/>
      <c r="D539" s="150"/>
      <c r="E539" s="39"/>
      <c r="F539" s="35"/>
      <c r="G539" s="36"/>
      <c r="H539" s="35"/>
      <c r="I539" s="35"/>
      <c r="J539" s="35"/>
      <c r="K539" s="37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25">
      <c r="A540" s="39"/>
      <c r="B540" s="39"/>
      <c r="C540" s="150"/>
      <c r="D540" s="150"/>
      <c r="E540" s="39"/>
      <c r="F540" s="35"/>
      <c r="G540" s="36"/>
      <c r="H540" s="35"/>
      <c r="I540" s="35"/>
      <c r="J540" s="35"/>
      <c r="K540" s="37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25">
      <c r="A541" s="39"/>
      <c r="B541" s="39"/>
      <c r="C541" s="150"/>
      <c r="D541" s="150"/>
      <c r="E541" s="39"/>
      <c r="F541" s="35"/>
      <c r="G541" s="36"/>
      <c r="H541" s="35"/>
      <c r="I541" s="35"/>
      <c r="J541" s="35"/>
      <c r="K541" s="37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25">
      <c r="A542" s="39"/>
      <c r="B542" s="39"/>
      <c r="C542" s="150"/>
      <c r="D542" s="150"/>
      <c r="E542" s="39"/>
      <c r="F542" s="35"/>
      <c r="G542" s="36"/>
      <c r="H542" s="35"/>
      <c r="I542" s="35"/>
      <c r="J542" s="35"/>
      <c r="K542" s="37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25">
      <c r="A543" s="39"/>
      <c r="B543" s="39"/>
      <c r="C543" s="150"/>
      <c r="D543" s="150"/>
      <c r="E543" s="39"/>
      <c r="F543" s="35"/>
      <c r="G543" s="36"/>
      <c r="H543" s="35"/>
      <c r="I543" s="35"/>
      <c r="J543" s="35"/>
      <c r="K543" s="37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25">
      <c r="A544" s="39"/>
      <c r="B544" s="39"/>
      <c r="C544" s="150"/>
      <c r="D544" s="150"/>
      <c r="E544" s="39"/>
      <c r="F544" s="35"/>
      <c r="G544" s="36"/>
      <c r="H544" s="35"/>
      <c r="I544" s="35"/>
      <c r="J544" s="35"/>
      <c r="K544" s="37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25">
      <c r="A545" s="39"/>
      <c r="B545" s="39"/>
      <c r="C545" s="150"/>
      <c r="D545" s="150"/>
      <c r="E545" s="39"/>
      <c r="F545" s="35"/>
      <c r="G545" s="36"/>
      <c r="H545" s="35"/>
      <c r="I545" s="35"/>
      <c r="J545" s="35"/>
      <c r="K545" s="37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25">
      <c r="A546" s="39"/>
      <c r="B546" s="39"/>
      <c r="C546" s="150"/>
      <c r="D546" s="150"/>
      <c r="E546" s="39"/>
      <c r="F546" s="35"/>
      <c r="G546" s="36"/>
      <c r="H546" s="35"/>
      <c r="I546" s="35"/>
      <c r="J546" s="35"/>
      <c r="K546" s="37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25">
      <c r="A547" s="39"/>
      <c r="B547" s="39"/>
      <c r="C547" s="150"/>
      <c r="D547" s="150"/>
      <c r="E547" s="39"/>
      <c r="F547" s="35"/>
      <c r="G547" s="36"/>
      <c r="H547" s="35"/>
      <c r="I547" s="35"/>
      <c r="J547" s="35"/>
      <c r="K547" s="37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25">
      <c r="A548" s="39"/>
      <c r="B548" s="39"/>
      <c r="C548" s="150"/>
      <c r="D548" s="150"/>
      <c r="E548" s="39"/>
      <c r="F548" s="35"/>
      <c r="G548" s="36"/>
      <c r="H548" s="35"/>
      <c r="I548" s="35"/>
      <c r="J548" s="35"/>
      <c r="K548" s="37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25">
      <c r="A549" s="39"/>
      <c r="B549" s="39"/>
      <c r="C549" s="150"/>
      <c r="D549" s="150"/>
      <c r="E549" s="39"/>
      <c r="F549" s="35"/>
      <c r="G549" s="36"/>
      <c r="H549" s="35"/>
      <c r="I549" s="35"/>
      <c r="J549" s="35"/>
      <c r="K549" s="37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25">
      <c r="A550" s="39"/>
      <c r="B550" s="39"/>
      <c r="C550" s="150"/>
      <c r="D550" s="150"/>
      <c r="E550" s="39"/>
      <c r="F550" s="35"/>
      <c r="G550" s="36"/>
      <c r="H550" s="35"/>
      <c r="I550" s="35"/>
      <c r="J550" s="35"/>
      <c r="K550" s="37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25">
      <c r="A551" s="39"/>
      <c r="B551" s="39"/>
      <c r="C551" s="150"/>
      <c r="D551" s="150"/>
      <c r="E551" s="39"/>
      <c r="F551" s="35"/>
      <c r="G551" s="36"/>
      <c r="H551" s="35"/>
      <c r="I551" s="35"/>
      <c r="J551" s="35"/>
      <c r="K551" s="37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25">
      <c r="A552" s="39"/>
      <c r="B552" s="39"/>
      <c r="C552" s="150"/>
      <c r="D552" s="150"/>
      <c r="E552" s="39"/>
      <c r="F552" s="35"/>
      <c r="G552" s="36"/>
      <c r="H552" s="35"/>
      <c r="I552" s="35"/>
      <c r="J552" s="35"/>
      <c r="K552" s="37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25">
      <c r="A553" s="39"/>
      <c r="B553" s="39"/>
      <c r="C553" s="150"/>
      <c r="D553" s="150"/>
      <c r="E553" s="39"/>
      <c r="F553" s="35"/>
      <c r="G553" s="36"/>
      <c r="H553" s="35"/>
      <c r="I553" s="35"/>
      <c r="J553" s="35"/>
      <c r="K553" s="37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25">
      <c r="A554" s="39"/>
      <c r="B554" s="39"/>
      <c r="C554" s="150"/>
      <c r="D554" s="150"/>
      <c r="E554" s="39"/>
      <c r="F554" s="35"/>
      <c r="G554" s="36"/>
      <c r="H554" s="35"/>
      <c r="I554" s="35"/>
      <c r="J554" s="35"/>
      <c r="K554" s="37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25">
      <c r="A555" s="39"/>
      <c r="B555" s="39"/>
      <c r="C555" s="150"/>
      <c r="D555" s="150"/>
      <c r="E555" s="39"/>
      <c r="F555" s="35"/>
      <c r="G555" s="36"/>
      <c r="H555" s="35"/>
      <c r="I555" s="35"/>
      <c r="J555" s="35"/>
      <c r="K555" s="37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25">
      <c r="A556" s="39"/>
      <c r="B556" s="39"/>
      <c r="C556" s="150"/>
      <c r="D556" s="150"/>
      <c r="E556" s="39"/>
      <c r="F556" s="35"/>
      <c r="G556" s="36"/>
      <c r="H556" s="35"/>
      <c r="I556" s="35"/>
      <c r="J556" s="35"/>
      <c r="K556" s="37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25">
      <c r="A557" s="39"/>
      <c r="B557" s="39"/>
      <c r="C557" s="150"/>
      <c r="D557" s="150"/>
      <c r="E557" s="39"/>
      <c r="F557" s="35"/>
      <c r="G557" s="36"/>
      <c r="H557" s="35"/>
      <c r="I557" s="35"/>
      <c r="J557" s="35"/>
      <c r="K557" s="37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25">
      <c r="A558" s="39"/>
      <c r="B558" s="39"/>
      <c r="C558" s="150"/>
      <c r="D558" s="150"/>
      <c r="E558" s="39"/>
      <c r="F558" s="35"/>
      <c r="G558" s="36"/>
      <c r="H558" s="35"/>
      <c r="I558" s="35"/>
      <c r="J558" s="35"/>
      <c r="K558" s="37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25">
      <c r="A559" s="39"/>
      <c r="B559" s="39"/>
      <c r="C559" s="150"/>
      <c r="D559" s="150"/>
      <c r="E559" s="39"/>
      <c r="F559" s="35"/>
      <c r="G559" s="36"/>
      <c r="H559" s="35"/>
      <c r="I559" s="35"/>
      <c r="J559" s="35"/>
      <c r="K559" s="37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25">
      <c r="A560" s="39"/>
      <c r="B560" s="39"/>
      <c r="C560" s="150"/>
      <c r="D560" s="150"/>
      <c r="E560" s="39"/>
      <c r="F560" s="35"/>
      <c r="G560" s="36"/>
      <c r="H560" s="35"/>
      <c r="I560" s="35"/>
      <c r="J560" s="35"/>
      <c r="K560" s="37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25">
      <c r="A561" s="39"/>
      <c r="B561" s="39"/>
      <c r="C561" s="150"/>
      <c r="D561" s="150"/>
      <c r="E561" s="39"/>
      <c r="F561" s="35"/>
      <c r="G561" s="36"/>
      <c r="H561" s="35"/>
      <c r="I561" s="35"/>
      <c r="J561" s="35"/>
      <c r="K561" s="37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25">
      <c r="A562" s="39"/>
      <c r="B562" s="39"/>
      <c r="C562" s="150"/>
      <c r="D562" s="150"/>
      <c r="E562" s="39"/>
      <c r="F562" s="35"/>
      <c r="G562" s="36"/>
      <c r="H562" s="35"/>
      <c r="I562" s="35"/>
      <c r="J562" s="35"/>
      <c r="K562" s="37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25">
      <c r="A563" s="39"/>
      <c r="B563" s="39"/>
      <c r="C563" s="150"/>
      <c r="D563" s="150"/>
      <c r="E563" s="39"/>
      <c r="F563" s="35"/>
      <c r="G563" s="36"/>
      <c r="H563" s="35"/>
      <c r="I563" s="35"/>
      <c r="J563" s="35"/>
      <c r="K563" s="37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25">
      <c r="A564" s="39"/>
      <c r="B564" s="39"/>
      <c r="C564" s="150"/>
      <c r="D564" s="150"/>
      <c r="E564" s="39"/>
      <c r="F564" s="35"/>
      <c r="G564" s="36"/>
      <c r="H564" s="35"/>
      <c r="I564" s="35"/>
      <c r="J564" s="35"/>
      <c r="K564" s="37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25">
      <c r="A565" s="39"/>
      <c r="B565" s="39"/>
      <c r="C565" s="150"/>
      <c r="D565" s="150"/>
      <c r="E565" s="39"/>
      <c r="F565" s="35"/>
      <c r="G565" s="36"/>
      <c r="H565" s="35"/>
      <c r="I565" s="35"/>
      <c r="J565" s="35"/>
      <c r="K565" s="37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25">
      <c r="A566" s="39"/>
      <c r="B566" s="39"/>
      <c r="C566" s="150"/>
      <c r="D566" s="150"/>
      <c r="E566" s="39"/>
      <c r="F566" s="35"/>
      <c r="G566" s="36"/>
      <c r="H566" s="35"/>
      <c r="I566" s="35"/>
      <c r="J566" s="35"/>
      <c r="K566" s="37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25">
      <c r="A567" s="39"/>
      <c r="B567" s="39"/>
      <c r="C567" s="150"/>
      <c r="D567" s="150"/>
      <c r="E567" s="39"/>
      <c r="F567" s="35"/>
      <c r="G567" s="36"/>
      <c r="H567" s="35"/>
      <c r="I567" s="35"/>
      <c r="J567" s="35"/>
      <c r="K567" s="37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25">
      <c r="A568" s="39"/>
      <c r="B568" s="39"/>
      <c r="C568" s="150"/>
      <c r="D568" s="150"/>
      <c r="E568" s="39"/>
      <c r="F568" s="35"/>
      <c r="G568" s="36"/>
      <c r="H568" s="35"/>
      <c r="I568" s="35"/>
      <c r="J568" s="35"/>
      <c r="K568" s="37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25">
      <c r="A569" s="39"/>
      <c r="B569" s="39"/>
      <c r="C569" s="150"/>
      <c r="D569" s="150"/>
      <c r="E569" s="39"/>
      <c r="F569" s="35"/>
      <c r="G569" s="36"/>
      <c r="H569" s="35"/>
      <c r="I569" s="35"/>
      <c r="J569" s="35"/>
      <c r="K569" s="37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25">
      <c r="A570" s="39"/>
      <c r="B570" s="39"/>
      <c r="C570" s="150"/>
      <c r="D570" s="150"/>
      <c r="E570" s="39"/>
      <c r="F570" s="35"/>
      <c r="G570" s="36"/>
      <c r="H570" s="35"/>
      <c r="I570" s="35"/>
      <c r="J570" s="35"/>
      <c r="K570" s="37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25">
      <c r="A571" s="39"/>
      <c r="B571" s="39"/>
      <c r="C571" s="150"/>
      <c r="D571" s="150"/>
      <c r="E571" s="39"/>
      <c r="F571" s="35"/>
      <c r="G571" s="36"/>
      <c r="H571" s="35"/>
      <c r="I571" s="35"/>
      <c r="J571" s="35"/>
      <c r="K571" s="37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25">
      <c r="A572" s="39"/>
      <c r="B572" s="39"/>
      <c r="C572" s="150"/>
      <c r="D572" s="150"/>
      <c r="E572" s="39"/>
      <c r="F572" s="35"/>
      <c r="G572" s="36"/>
      <c r="H572" s="35"/>
      <c r="I572" s="35"/>
      <c r="J572" s="35"/>
      <c r="K572" s="37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25">
      <c r="A573" s="39"/>
      <c r="B573" s="39"/>
      <c r="C573" s="150"/>
      <c r="D573" s="150"/>
      <c r="E573" s="39"/>
      <c r="F573" s="35"/>
      <c r="G573" s="36"/>
      <c r="H573" s="35"/>
      <c r="I573" s="35"/>
      <c r="J573" s="35"/>
      <c r="K573" s="37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25">
      <c r="A574" s="39"/>
      <c r="B574" s="39"/>
      <c r="C574" s="150"/>
      <c r="D574" s="150"/>
      <c r="E574" s="39"/>
      <c r="F574" s="35"/>
      <c r="G574" s="36"/>
      <c r="H574" s="35"/>
      <c r="I574" s="35"/>
      <c r="J574" s="35"/>
      <c r="K574" s="37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25">
      <c r="A575" s="39"/>
      <c r="B575" s="39"/>
      <c r="C575" s="150"/>
      <c r="D575" s="150"/>
      <c r="E575" s="39"/>
      <c r="F575" s="35"/>
      <c r="G575" s="36"/>
      <c r="H575" s="35"/>
      <c r="I575" s="35"/>
      <c r="J575" s="35"/>
      <c r="K575" s="37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25">
      <c r="A576" s="39"/>
      <c r="B576" s="39"/>
      <c r="C576" s="150"/>
      <c r="D576" s="150"/>
      <c r="E576" s="39"/>
      <c r="F576" s="35"/>
      <c r="G576" s="36"/>
      <c r="H576" s="35"/>
      <c r="I576" s="35"/>
      <c r="J576" s="35"/>
      <c r="K576" s="37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25">
      <c r="A577" s="39"/>
      <c r="B577" s="39"/>
      <c r="C577" s="150"/>
      <c r="D577" s="150"/>
      <c r="E577" s="39"/>
      <c r="F577" s="35"/>
      <c r="G577" s="36"/>
      <c r="H577" s="35"/>
      <c r="I577" s="35"/>
      <c r="J577" s="35"/>
      <c r="K577" s="37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25">
      <c r="A578" s="39"/>
      <c r="B578" s="39"/>
      <c r="C578" s="150"/>
      <c r="D578" s="150"/>
      <c r="E578" s="39"/>
      <c r="F578" s="35"/>
      <c r="G578" s="36"/>
      <c r="H578" s="35"/>
      <c r="I578" s="35"/>
      <c r="J578" s="35"/>
      <c r="K578" s="37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25">
      <c r="A579" s="39"/>
      <c r="B579" s="39"/>
      <c r="C579" s="150"/>
      <c r="D579" s="150"/>
      <c r="E579" s="39"/>
      <c r="F579" s="35"/>
      <c r="G579" s="36"/>
      <c r="H579" s="35"/>
      <c r="I579" s="35"/>
      <c r="J579" s="35"/>
      <c r="K579" s="37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25">
      <c r="A580" s="39"/>
      <c r="B580" s="39"/>
      <c r="C580" s="150"/>
      <c r="D580" s="150"/>
      <c r="E580" s="39"/>
      <c r="F580" s="35"/>
      <c r="G580" s="36"/>
      <c r="H580" s="35"/>
      <c r="I580" s="35"/>
      <c r="J580" s="35"/>
      <c r="K580" s="37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25">
      <c r="A581" s="39"/>
      <c r="B581" s="39"/>
      <c r="C581" s="150"/>
      <c r="D581" s="150"/>
      <c r="E581" s="39"/>
      <c r="F581" s="35"/>
      <c r="G581" s="36"/>
      <c r="H581" s="35"/>
      <c r="I581" s="35"/>
      <c r="J581" s="35"/>
      <c r="K581" s="37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25">
      <c r="A582" s="39"/>
      <c r="B582" s="39"/>
      <c r="C582" s="150"/>
      <c r="D582" s="150"/>
      <c r="E582" s="39"/>
      <c r="F582" s="35"/>
      <c r="G582" s="36"/>
      <c r="H582" s="35"/>
      <c r="I582" s="35"/>
      <c r="J582" s="35"/>
      <c r="K582" s="37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25">
      <c r="A583" s="39"/>
      <c r="B583" s="39"/>
      <c r="C583" s="150"/>
      <c r="D583" s="150"/>
      <c r="E583" s="39"/>
      <c r="F583" s="35"/>
      <c r="G583" s="36"/>
      <c r="H583" s="35"/>
      <c r="I583" s="35"/>
      <c r="J583" s="35"/>
      <c r="K583" s="37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25">
      <c r="A584" s="39"/>
      <c r="B584" s="39"/>
      <c r="C584" s="150"/>
      <c r="D584" s="150"/>
      <c r="E584" s="39"/>
      <c r="F584" s="35"/>
      <c r="G584" s="36"/>
      <c r="H584" s="35"/>
      <c r="I584" s="35"/>
      <c r="J584" s="35"/>
      <c r="K584" s="37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25">
      <c r="A585" s="39"/>
      <c r="B585" s="39"/>
      <c r="C585" s="150"/>
      <c r="D585" s="150"/>
      <c r="E585" s="39"/>
      <c r="F585" s="35"/>
      <c r="G585" s="36"/>
      <c r="H585" s="35"/>
      <c r="I585" s="35"/>
      <c r="J585" s="35"/>
      <c r="K585" s="37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25">
      <c r="A586" s="39"/>
      <c r="B586" s="39"/>
      <c r="C586" s="150"/>
      <c r="D586" s="150"/>
      <c r="E586" s="39"/>
      <c r="F586" s="35"/>
      <c r="G586" s="36"/>
      <c r="H586" s="35"/>
      <c r="I586" s="35"/>
      <c r="J586" s="35"/>
      <c r="K586" s="37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25">
      <c r="A587" s="39"/>
      <c r="B587" s="39"/>
      <c r="C587" s="150"/>
      <c r="D587" s="150"/>
      <c r="E587" s="39"/>
      <c r="F587" s="35"/>
      <c r="G587" s="36"/>
      <c r="H587" s="35"/>
      <c r="I587" s="35"/>
      <c r="J587" s="35"/>
      <c r="K587" s="37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25">
      <c r="A588" s="39"/>
      <c r="B588" s="39"/>
      <c r="C588" s="150"/>
      <c r="D588" s="150"/>
      <c r="E588" s="39"/>
      <c r="F588" s="35"/>
      <c r="G588" s="36"/>
      <c r="H588" s="35"/>
      <c r="I588" s="35"/>
      <c r="J588" s="35"/>
      <c r="K588" s="37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25">
      <c r="A589" s="39"/>
      <c r="B589" s="39"/>
      <c r="C589" s="150"/>
      <c r="D589" s="150"/>
      <c r="E589" s="39"/>
      <c r="F589" s="35"/>
      <c r="G589" s="36"/>
      <c r="H589" s="35"/>
      <c r="I589" s="35"/>
      <c r="J589" s="35"/>
      <c r="K589" s="37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25">
      <c r="A590" s="39"/>
      <c r="B590" s="39"/>
      <c r="C590" s="150"/>
      <c r="D590" s="150"/>
      <c r="E590" s="39"/>
      <c r="F590" s="35"/>
      <c r="G590" s="36"/>
      <c r="H590" s="35"/>
      <c r="I590" s="35"/>
      <c r="J590" s="35"/>
      <c r="K590" s="37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25">
      <c r="A591" s="39"/>
      <c r="B591" s="39"/>
      <c r="C591" s="150"/>
      <c r="D591" s="150"/>
      <c r="E591" s="39"/>
      <c r="F591" s="35"/>
      <c r="G591" s="36"/>
      <c r="H591" s="35"/>
      <c r="I591" s="35"/>
      <c r="J591" s="35"/>
      <c r="K591" s="37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25">
      <c r="A592" s="39"/>
      <c r="B592" s="39"/>
      <c r="C592" s="150"/>
      <c r="D592" s="150"/>
      <c r="E592" s="39"/>
      <c r="F592" s="35"/>
      <c r="G592" s="36"/>
      <c r="H592" s="35"/>
      <c r="I592" s="35"/>
      <c r="J592" s="35"/>
      <c r="K592" s="37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25">
      <c r="A593" s="39"/>
      <c r="B593" s="39"/>
      <c r="C593" s="150"/>
      <c r="D593" s="150"/>
      <c r="E593" s="39"/>
      <c r="F593" s="35"/>
      <c r="G593" s="36"/>
      <c r="H593" s="35"/>
      <c r="I593" s="35"/>
      <c r="J593" s="35"/>
      <c r="K593" s="37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25">
      <c r="A594" s="39"/>
      <c r="B594" s="39"/>
      <c r="C594" s="150"/>
      <c r="D594" s="150"/>
      <c r="E594" s="39"/>
      <c r="F594" s="35"/>
      <c r="G594" s="36"/>
      <c r="H594" s="35"/>
      <c r="I594" s="35"/>
      <c r="J594" s="35"/>
      <c r="K594" s="37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25">
      <c r="A595" s="39"/>
      <c r="B595" s="39"/>
      <c r="C595" s="150"/>
      <c r="D595" s="150"/>
      <c r="E595" s="39"/>
      <c r="F595" s="35"/>
      <c r="G595" s="36"/>
      <c r="H595" s="35"/>
      <c r="I595" s="35"/>
      <c r="J595" s="35"/>
      <c r="K595" s="37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25">
      <c r="A596" s="39"/>
      <c r="B596" s="39"/>
      <c r="C596" s="150"/>
      <c r="D596" s="150"/>
      <c r="E596" s="39"/>
      <c r="F596" s="35"/>
      <c r="G596" s="36"/>
      <c r="H596" s="35"/>
      <c r="I596" s="35"/>
      <c r="J596" s="35"/>
      <c r="K596" s="37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25">
      <c r="A597" s="39"/>
      <c r="B597" s="39"/>
      <c r="C597" s="150"/>
      <c r="D597" s="150"/>
      <c r="E597" s="39"/>
      <c r="F597" s="35"/>
      <c r="G597" s="36"/>
      <c r="H597" s="35"/>
      <c r="I597" s="35"/>
      <c r="J597" s="35"/>
      <c r="K597" s="37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25">
      <c r="A598" s="39"/>
      <c r="B598" s="39"/>
      <c r="C598" s="150"/>
      <c r="D598" s="150"/>
      <c r="E598" s="39"/>
      <c r="F598" s="35"/>
      <c r="G598" s="36"/>
      <c r="H598" s="35"/>
      <c r="I598" s="35"/>
      <c r="J598" s="35"/>
      <c r="K598" s="37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25">
      <c r="A599" s="39"/>
      <c r="B599" s="39"/>
      <c r="C599" s="150"/>
      <c r="D599" s="150"/>
      <c r="E599" s="39"/>
      <c r="F599" s="35"/>
      <c r="G599" s="36"/>
      <c r="H599" s="35"/>
      <c r="I599" s="35"/>
      <c r="J599" s="35"/>
      <c r="K599" s="37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25">
      <c r="A600" s="39"/>
      <c r="B600" s="39"/>
      <c r="C600" s="150"/>
      <c r="D600" s="150"/>
      <c r="E600" s="39"/>
      <c r="F600" s="35"/>
      <c r="G600" s="36"/>
      <c r="H600" s="35"/>
      <c r="I600" s="35"/>
      <c r="J600" s="35"/>
      <c r="K600" s="37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25">
      <c r="A601" s="39"/>
      <c r="B601" s="39"/>
      <c r="C601" s="150"/>
      <c r="D601" s="150"/>
      <c r="E601" s="39"/>
      <c r="F601" s="35"/>
      <c r="G601" s="36"/>
      <c r="H601" s="35"/>
      <c r="I601" s="35"/>
      <c r="J601" s="35"/>
      <c r="K601" s="37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25">
      <c r="A602" s="39"/>
      <c r="B602" s="39"/>
      <c r="C602" s="150"/>
      <c r="D602" s="150"/>
      <c r="E602" s="39"/>
      <c r="F602" s="35"/>
      <c r="G602" s="36"/>
      <c r="H602" s="35"/>
      <c r="I602" s="35"/>
      <c r="J602" s="35"/>
      <c r="K602" s="37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25">
      <c r="A603" s="39"/>
      <c r="B603" s="39"/>
      <c r="C603" s="150"/>
      <c r="D603" s="150"/>
      <c r="E603" s="39"/>
      <c r="F603" s="35"/>
      <c r="G603" s="36"/>
      <c r="H603" s="35"/>
      <c r="I603" s="35"/>
      <c r="J603" s="35"/>
      <c r="K603" s="37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25">
      <c r="A604" s="39"/>
      <c r="B604" s="39"/>
      <c r="C604" s="150"/>
      <c r="D604" s="150"/>
      <c r="E604" s="39"/>
      <c r="F604" s="35"/>
      <c r="G604" s="36"/>
      <c r="H604" s="35"/>
      <c r="I604" s="35"/>
      <c r="J604" s="35"/>
      <c r="K604" s="37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25">
      <c r="A605" s="39"/>
      <c r="B605" s="39"/>
      <c r="C605" s="150"/>
      <c r="D605" s="150"/>
      <c r="E605" s="39"/>
      <c r="F605" s="35"/>
      <c r="G605" s="36"/>
      <c r="H605" s="35"/>
      <c r="I605" s="35"/>
      <c r="J605" s="35"/>
      <c r="K605" s="37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25">
      <c r="A606" s="39"/>
      <c r="B606" s="39"/>
      <c r="C606" s="150"/>
      <c r="D606" s="150"/>
      <c r="E606" s="39"/>
      <c r="F606" s="35"/>
      <c r="G606" s="36"/>
      <c r="H606" s="35"/>
      <c r="I606" s="35"/>
      <c r="J606" s="35"/>
      <c r="K606" s="37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25">
      <c r="A607" s="39"/>
      <c r="B607" s="39"/>
      <c r="C607" s="150"/>
      <c r="D607" s="150"/>
      <c r="E607" s="39"/>
      <c r="F607" s="35"/>
      <c r="G607" s="36"/>
      <c r="H607" s="35"/>
      <c r="I607" s="35"/>
      <c r="J607" s="35"/>
      <c r="K607" s="37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25">
      <c r="A608" s="39"/>
      <c r="B608" s="39"/>
      <c r="C608" s="150"/>
      <c r="D608" s="150"/>
      <c r="E608" s="39"/>
      <c r="F608" s="35"/>
      <c r="G608" s="36"/>
      <c r="H608" s="35"/>
      <c r="I608" s="35"/>
      <c r="J608" s="35"/>
      <c r="K608" s="37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25">
      <c r="A609" s="39"/>
      <c r="B609" s="39"/>
      <c r="C609" s="150"/>
      <c r="D609" s="150"/>
      <c r="E609" s="39"/>
      <c r="F609" s="35"/>
      <c r="G609" s="36"/>
      <c r="H609" s="35"/>
      <c r="I609" s="35"/>
      <c r="J609" s="35"/>
      <c r="K609" s="37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25">
      <c r="A610" s="39"/>
      <c r="B610" s="39"/>
      <c r="C610" s="150"/>
      <c r="D610" s="150"/>
      <c r="E610" s="39"/>
      <c r="F610" s="35"/>
      <c r="G610" s="36"/>
      <c r="H610" s="35"/>
      <c r="I610" s="35"/>
      <c r="J610" s="35"/>
      <c r="K610" s="37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25">
      <c r="A611" s="39"/>
      <c r="B611" s="39"/>
      <c r="C611" s="150"/>
      <c r="D611" s="150"/>
      <c r="E611" s="39"/>
      <c r="F611" s="35"/>
      <c r="G611" s="36"/>
      <c r="H611" s="35"/>
      <c r="I611" s="35"/>
      <c r="J611" s="35"/>
      <c r="K611" s="37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25">
      <c r="A612" s="39"/>
      <c r="B612" s="39"/>
      <c r="C612" s="150"/>
      <c r="D612" s="150"/>
      <c r="E612" s="39"/>
      <c r="F612" s="35"/>
      <c r="G612" s="36"/>
      <c r="H612" s="35"/>
      <c r="I612" s="35"/>
      <c r="J612" s="35"/>
      <c r="K612" s="37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25">
      <c r="A613" s="39"/>
      <c r="B613" s="39"/>
      <c r="C613" s="150"/>
      <c r="D613" s="150"/>
      <c r="E613" s="39"/>
      <c r="F613" s="35"/>
      <c r="G613" s="36"/>
      <c r="H613" s="35"/>
      <c r="I613" s="35"/>
      <c r="J613" s="35"/>
      <c r="K613" s="37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25">
      <c r="A614" s="39"/>
      <c r="B614" s="39"/>
      <c r="C614" s="150"/>
      <c r="D614" s="150"/>
      <c r="E614" s="39"/>
      <c r="F614" s="35"/>
      <c r="G614" s="36"/>
      <c r="H614" s="35"/>
      <c r="I614" s="35"/>
      <c r="J614" s="35"/>
      <c r="K614" s="37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25">
      <c r="A615" s="39"/>
      <c r="B615" s="39"/>
      <c r="C615" s="150"/>
      <c r="D615" s="150"/>
      <c r="E615" s="39"/>
      <c r="F615" s="35"/>
      <c r="G615" s="36"/>
      <c r="H615" s="35"/>
      <c r="I615" s="35"/>
      <c r="J615" s="35"/>
      <c r="K615" s="37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25">
      <c r="A616" s="39"/>
      <c r="B616" s="39"/>
      <c r="C616" s="150"/>
      <c r="D616" s="150"/>
      <c r="E616" s="39"/>
      <c r="F616" s="35"/>
      <c r="G616" s="36"/>
      <c r="H616" s="35"/>
      <c r="I616" s="35"/>
      <c r="J616" s="35"/>
      <c r="K616" s="37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25">
      <c r="A617" s="39"/>
      <c r="B617" s="39"/>
      <c r="C617" s="150"/>
      <c r="D617" s="150"/>
      <c r="E617" s="39"/>
      <c r="F617" s="35"/>
      <c r="G617" s="36"/>
      <c r="H617" s="35"/>
      <c r="I617" s="35"/>
      <c r="J617" s="35"/>
      <c r="K617" s="37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25">
      <c r="A618" s="39"/>
      <c r="B618" s="39"/>
      <c r="C618" s="150"/>
      <c r="D618" s="150"/>
      <c r="E618" s="39"/>
      <c r="F618" s="35"/>
      <c r="G618" s="36"/>
      <c r="H618" s="35"/>
      <c r="I618" s="35"/>
      <c r="J618" s="35"/>
      <c r="K618" s="37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25">
      <c r="A619" s="39"/>
      <c r="B619" s="39"/>
      <c r="C619" s="150"/>
      <c r="D619" s="150"/>
      <c r="E619" s="39"/>
      <c r="F619" s="35"/>
      <c r="G619" s="36"/>
      <c r="H619" s="35"/>
      <c r="I619" s="35"/>
      <c r="J619" s="35"/>
      <c r="K619" s="37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25">
      <c r="A620" s="39"/>
      <c r="B620" s="39"/>
      <c r="C620" s="150"/>
      <c r="D620" s="150"/>
      <c r="E620" s="39"/>
      <c r="F620" s="35"/>
      <c r="G620" s="36"/>
      <c r="H620" s="35"/>
      <c r="I620" s="35"/>
      <c r="J620" s="35"/>
      <c r="K620" s="37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25">
      <c r="A621" s="39"/>
      <c r="B621" s="39"/>
      <c r="C621" s="150"/>
      <c r="D621" s="150"/>
      <c r="E621" s="39"/>
      <c r="F621" s="35"/>
      <c r="G621" s="36"/>
      <c r="H621" s="35"/>
      <c r="I621" s="35"/>
      <c r="J621" s="35"/>
      <c r="K621" s="37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25">
      <c r="A622" s="39"/>
      <c r="B622" s="39"/>
      <c r="C622" s="150"/>
      <c r="D622" s="150"/>
      <c r="E622" s="39"/>
      <c r="F622" s="35"/>
      <c r="G622" s="36"/>
      <c r="H622" s="35"/>
      <c r="I622" s="35"/>
      <c r="J622" s="35"/>
      <c r="K622" s="37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25">
      <c r="A623" s="39"/>
      <c r="B623" s="39"/>
      <c r="C623" s="150"/>
      <c r="D623" s="150"/>
      <c r="E623" s="39"/>
      <c r="F623" s="35"/>
      <c r="G623" s="36"/>
      <c r="H623" s="35"/>
      <c r="I623" s="35"/>
      <c r="J623" s="35"/>
      <c r="K623" s="37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25">
      <c r="A624" s="39"/>
      <c r="B624" s="39"/>
      <c r="C624" s="150"/>
      <c r="D624" s="150"/>
      <c r="E624" s="39"/>
      <c r="F624" s="35"/>
      <c r="G624" s="36"/>
      <c r="H624" s="35"/>
      <c r="I624" s="35"/>
      <c r="J624" s="35"/>
      <c r="K624" s="37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25">
      <c r="A625" s="39"/>
      <c r="B625" s="39"/>
      <c r="C625" s="150"/>
      <c r="D625" s="150"/>
      <c r="E625" s="39"/>
      <c r="F625" s="35"/>
      <c r="G625" s="36"/>
      <c r="H625" s="35"/>
      <c r="I625" s="35"/>
      <c r="J625" s="35"/>
      <c r="K625" s="37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25">
      <c r="A626" s="39"/>
      <c r="B626" s="39"/>
      <c r="C626" s="150"/>
      <c r="D626" s="150"/>
      <c r="E626" s="39"/>
      <c r="F626" s="35"/>
      <c r="G626" s="36"/>
      <c r="H626" s="35"/>
      <c r="I626" s="35"/>
      <c r="J626" s="35"/>
      <c r="K626" s="37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25">
      <c r="A627" s="39"/>
      <c r="B627" s="39"/>
      <c r="C627" s="150"/>
      <c r="D627" s="150"/>
      <c r="E627" s="39"/>
      <c r="F627" s="35"/>
      <c r="G627" s="36"/>
      <c r="H627" s="35"/>
      <c r="I627" s="35"/>
      <c r="J627" s="35"/>
      <c r="K627" s="37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25">
      <c r="A628" s="39"/>
      <c r="B628" s="39"/>
      <c r="C628" s="150"/>
      <c r="D628" s="150"/>
      <c r="E628" s="39"/>
      <c r="F628" s="35"/>
      <c r="G628" s="36"/>
      <c r="H628" s="35"/>
      <c r="I628" s="35"/>
      <c r="J628" s="35"/>
      <c r="K628" s="37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25">
      <c r="A629" s="39"/>
      <c r="B629" s="39"/>
      <c r="C629" s="150"/>
      <c r="D629" s="150"/>
      <c r="E629" s="39"/>
      <c r="F629" s="35"/>
      <c r="G629" s="36"/>
      <c r="H629" s="35"/>
      <c r="I629" s="35"/>
      <c r="J629" s="35"/>
      <c r="K629" s="37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25">
      <c r="A630" s="39"/>
      <c r="B630" s="39"/>
      <c r="C630" s="150"/>
      <c r="D630" s="150"/>
      <c r="E630" s="39"/>
      <c r="F630" s="35"/>
      <c r="G630" s="36"/>
      <c r="H630" s="35"/>
      <c r="I630" s="35"/>
      <c r="J630" s="35"/>
      <c r="K630" s="37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25">
      <c r="A631" s="39"/>
      <c r="B631" s="39"/>
      <c r="C631" s="150"/>
      <c r="D631" s="150"/>
      <c r="E631" s="39"/>
      <c r="F631" s="35"/>
      <c r="G631" s="36"/>
      <c r="H631" s="35"/>
      <c r="I631" s="35"/>
      <c r="J631" s="35"/>
      <c r="K631" s="37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25">
      <c r="A632" s="39"/>
      <c r="B632" s="39"/>
      <c r="C632" s="150"/>
      <c r="D632" s="150"/>
      <c r="E632" s="39"/>
      <c r="F632" s="35"/>
      <c r="G632" s="36"/>
      <c r="H632" s="35"/>
      <c r="I632" s="35"/>
      <c r="J632" s="35"/>
      <c r="K632" s="37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25">
      <c r="A633" s="39"/>
      <c r="B633" s="39"/>
      <c r="C633" s="150"/>
      <c r="D633" s="150"/>
      <c r="E633" s="39"/>
      <c r="F633" s="35"/>
      <c r="G633" s="36"/>
      <c r="H633" s="35"/>
      <c r="I633" s="35"/>
      <c r="J633" s="35"/>
      <c r="K633" s="37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25">
      <c r="A634" s="39"/>
      <c r="B634" s="39"/>
      <c r="C634" s="150"/>
      <c r="D634" s="150"/>
      <c r="E634" s="39"/>
      <c r="F634" s="35"/>
      <c r="G634" s="36"/>
      <c r="H634" s="35"/>
      <c r="I634" s="35"/>
      <c r="J634" s="35"/>
      <c r="K634" s="37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25">
      <c r="A635" s="39"/>
      <c r="B635" s="39"/>
      <c r="C635" s="150"/>
      <c r="D635" s="150"/>
      <c r="E635" s="39"/>
      <c r="F635" s="35"/>
      <c r="G635" s="36"/>
      <c r="H635" s="35"/>
      <c r="I635" s="35"/>
      <c r="J635" s="35"/>
      <c r="K635" s="37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25">
      <c r="A636" s="39"/>
      <c r="B636" s="39"/>
      <c r="C636" s="150"/>
      <c r="D636" s="150"/>
      <c r="E636" s="39"/>
      <c r="F636" s="35"/>
      <c r="G636" s="36"/>
      <c r="H636" s="35"/>
      <c r="I636" s="35"/>
      <c r="J636" s="35"/>
      <c r="K636" s="37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25">
      <c r="A637" s="39"/>
      <c r="B637" s="39"/>
      <c r="C637" s="150"/>
      <c r="D637" s="150"/>
      <c r="E637" s="39"/>
      <c r="F637" s="35"/>
      <c r="G637" s="36"/>
      <c r="H637" s="35"/>
      <c r="I637" s="35"/>
      <c r="J637" s="35"/>
      <c r="K637" s="37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25">
      <c r="A638" s="39"/>
      <c r="B638" s="39"/>
      <c r="C638" s="150"/>
      <c r="D638" s="150"/>
      <c r="E638" s="39"/>
      <c r="F638" s="35"/>
      <c r="G638" s="36"/>
      <c r="H638" s="35"/>
      <c r="I638" s="35"/>
      <c r="J638" s="35"/>
      <c r="K638" s="37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25">
      <c r="A639" s="39"/>
      <c r="B639" s="39"/>
      <c r="C639" s="150"/>
      <c r="D639" s="150"/>
      <c r="E639" s="39"/>
      <c r="F639" s="35"/>
      <c r="G639" s="36"/>
      <c r="H639" s="35"/>
      <c r="I639" s="35"/>
      <c r="J639" s="35"/>
      <c r="K639" s="37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25">
      <c r="A640" s="39"/>
      <c r="B640" s="39"/>
      <c r="C640" s="150"/>
      <c r="D640" s="150"/>
      <c r="E640" s="39"/>
      <c r="F640" s="35"/>
      <c r="G640" s="36"/>
      <c r="H640" s="35"/>
      <c r="I640" s="35"/>
      <c r="J640" s="35"/>
      <c r="K640" s="37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25">
      <c r="A641" s="39"/>
      <c r="B641" s="39"/>
      <c r="C641" s="150"/>
      <c r="D641" s="150"/>
      <c r="E641" s="39"/>
      <c r="F641" s="35"/>
      <c r="G641" s="36"/>
      <c r="H641" s="35"/>
      <c r="I641" s="35"/>
      <c r="J641" s="35"/>
      <c r="K641" s="37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25">
      <c r="A642" s="39"/>
      <c r="B642" s="39"/>
      <c r="C642" s="150"/>
      <c r="D642" s="150"/>
      <c r="E642" s="39"/>
      <c r="F642" s="35"/>
      <c r="G642" s="36"/>
      <c r="H642" s="35"/>
      <c r="I642" s="35"/>
      <c r="J642" s="35"/>
      <c r="K642" s="37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25">
      <c r="A643" s="39"/>
      <c r="B643" s="39"/>
      <c r="C643" s="150"/>
      <c r="D643" s="150"/>
      <c r="E643" s="39"/>
      <c r="F643" s="35"/>
      <c r="G643" s="36"/>
      <c r="H643" s="35"/>
      <c r="I643" s="35"/>
      <c r="J643" s="35"/>
      <c r="K643" s="37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25">
      <c r="A644" s="39"/>
      <c r="B644" s="39"/>
      <c r="C644" s="150"/>
      <c r="D644" s="150"/>
      <c r="E644" s="39"/>
      <c r="F644" s="35"/>
      <c r="G644" s="36"/>
      <c r="H644" s="35"/>
      <c r="I644" s="35"/>
      <c r="J644" s="35"/>
      <c r="K644" s="37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25">
      <c r="A645" s="39"/>
      <c r="B645" s="39"/>
      <c r="C645" s="150"/>
      <c r="D645" s="150"/>
      <c r="E645" s="39"/>
      <c r="F645" s="35"/>
      <c r="G645" s="36"/>
      <c r="H645" s="35"/>
      <c r="I645" s="35"/>
      <c r="J645" s="35"/>
      <c r="K645" s="37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25">
      <c r="A646" s="39"/>
      <c r="B646" s="39"/>
      <c r="C646" s="150"/>
      <c r="D646" s="150"/>
      <c r="E646" s="39"/>
      <c r="F646" s="35"/>
      <c r="G646" s="36"/>
      <c r="H646" s="35"/>
      <c r="I646" s="35"/>
      <c r="J646" s="35"/>
      <c r="K646" s="37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25">
      <c r="A647" s="39"/>
      <c r="B647" s="39"/>
      <c r="C647" s="150"/>
      <c r="D647" s="150"/>
      <c r="E647" s="39"/>
      <c r="F647" s="35"/>
      <c r="G647" s="36"/>
      <c r="H647" s="35"/>
      <c r="I647" s="35"/>
      <c r="J647" s="35"/>
      <c r="K647" s="37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25">
      <c r="A648" s="39"/>
      <c r="B648" s="39"/>
      <c r="C648" s="150"/>
      <c r="D648" s="150"/>
      <c r="E648" s="39"/>
      <c r="F648" s="35"/>
      <c r="G648" s="36"/>
      <c r="H648" s="35"/>
      <c r="I648" s="35"/>
      <c r="J648" s="35"/>
      <c r="K648" s="37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25">
      <c r="A649" s="39"/>
      <c r="B649" s="39"/>
      <c r="C649" s="150"/>
      <c r="D649" s="150"/>
      <c r="E649" s="39"/>
      <c r="F649" s="35"/>
      <c r="G649" s="36"/>
      <c r="H649" s="35"/>
      <c r="I649" s="35"/>
      <c r="J649" s="35"/>
      <c r="K649" s="37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25">
      <c r="A650" s="39"/>
      <c r="B650" s="39"/>
      <c r="C650" s="150"/>
      <c r="D650" s="150"/>
      <c r="E650" s="39"/>
      <c r="F650" s="35"/>
      <c r="G650" s="36"/>
      <c r="H650" s="35"/>
      <c r="I650" s="35"/>
      <c r="J650" s="35"/>
      <c r="K650" s="37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25">
      <c r="A651" s="39"/>
      <c r="B651" s="39"/>
      <c r="C651" s="150"/>
      <c r="D651" s="150"/>
      <c r="E651" s="39"/>
      <c r="F651" s="35"/>
      <c r="G651" s="36"/>
      <c r="H651" s="35"/>
      <c r="I651" s="35"/>
      <c r="J651" s="35"/>
      <c r="K651" s="37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25">
      <c r="A652" s="39"/>
      <c r="B652" s="39"/>
      <c r="C652" s="150"/>
      <c r="D652" s="150"/>
      <c r="E652" s="39"/>
      <c r="F652" s="35"/>
      <c r="G652" s="36"/>
      <c r="H652" s="35"/>
      <c r="I652" s="35"/>
      <c r="J652" s="35"/>
      <c r="K652" s="37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25">
      <c r="A653" s="39"/>
      <c r="B653" s="39"/>
      <c r="C653" s="150"/>
      <c r="D653" s="150"/>
      <c r="E653" s="39"/>
      <c r="F653" s="35"/>
      <c r="G653" s="36"/>
      <c r="H653" s="35"/>
      <c r="I653" s="35"/>
      <c r="J653" s="35"/>
      <c r="K653" s="37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25">
      <c r="A654" s="39"/>
      <c r="B654" s="39"/>
      <c r="C654" s="150"/>
      <c r="D654" s="150"/>
      <c r="E654" s="39"/>
      <c r="F654" s="35"/>
      <c r="G654" s="36"/>
      <c r="H654" s="35"/>
      <c r="I654" s="35"/>
      <c r="J654" s="35"/>
      <c r="K654" s="37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25">
      <c r="A655" s="39"/>
      <c r="B655" s="39"/>
      <c r="C655" s="150"/>
      <c r="D655" s="150"/>
      <c r="E655" s="39"/>
      <c r="F655" s="35"/>
      <c r="G655" s="36"/>
      <c r="H655" s="35"/>
      <c r="I655" s="35"/>
      <c r="J655" s="35"/>
      <c r="K655" s="37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25">
      <c r="A656" s="39"/>
      <c r="B656" s="39"/>
      <c r="C656" s="150"/>
      <c r="D656" s="150"/>
      <c r="E656" s="39"/>
      <c r="F656" s="35"/>
      <c r="G656" s="36"/>
      <c r="H656" s="35"/>
      <c r="I656" s="35"/>
      <c r="J656" s="35"/>
      <c r="K656" s="37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25">
      <c r="A657" s="39"/>
      <c r="B657" s="39"/>
      <c r="C657" s="150"/>
      <c r="D657" s="150"/>
      <c r="E657" s="39"/>
      <c r="F657" s="35"/>
      <c r="G657" s="36"/>
      <c r="H657" s="35"/>
      <c r="I657" s="35"/>
      <c r="J657" s="35"/>
      <c r="K657" s="37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25">
      <c r="A658" s="39"/>
      <c r="B658" s="39"/>
      <c r="C658" s="150"/>
      <c r="D658" s="150"/>
      <c r="E658" s="39"/>
      <c r="F658" s="35"/>
      <c r="G658" s="36"/>
      <c r="H658" s="35"/>
      <c r="I658" s="35"/>
      <c r="J658" s="35"/>
      <c r="K658" s="37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25">
      <c r="A659" s="39"/>
      <c r="B659" s="39"/>
      <c r="C659" s="150"/>
      <c r="D659" s="150"/>
      <c r="E659" s="39"/>
      <c r="F659" s="35"/>
      <c r="G659" s="36"/>
      <c r="H659" s="35"/>
      <c r="I659" s="35"/>
      <c r="J659" s="35"/>
      <c r="K659" s="37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25">
      <c r="A660" s="39"/>
      <c r="B660" s="39"/>
      <c r="C660" s="150"/>
      <c r="D660" s="150"/>
      <c r="E660" s="39"/>
      <c r="F660" s="35"/>
      <c r="G660" s="36"/>
      <c r="H660" s="35"/>
      <c r="I660" s="35"/>
      <c r="J660" s="35"/>
      <c r="K660" s="37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25">
      <c r="A661" s="39"/>
      <c r="B661" s="39"/>
      <c r="C661" s="150"/>
      <c r="D661" s="150"/>
      <c r="E661" s="39"/>
      <c r="F661" s="35"/>
      <c r="G661" s="36"/>
      <c r="H661" s="35"/>
      <c r="I661" s="35"/>
      <c r="J661" s="35"/>
      <c r="K661" s="37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25">
      <c r="A662" s="39"/>
      <c r="B662" s="39"/>
      <c r="C662" s="150"/>
      <c r="D662" s="150"/>
      <c r="E662" s="39"/>
      <c r="F662" s="35"/>
      <c r="G662" s="36"/>
      <c r="H662" s="35"/>
      <c r="I662" s="35"/>
      <c r="J662" s="35"/>
      <c r="K662" s="37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25">
      <c r="A663" s="39"/>
      <c r="B663" s="39"/>
      <c r="C663" s="150"/>
      <c r="D663" s="150"/>
      <c r="E663" s="39"/>
      <c r="F663" s="35"/>
      <c r="G663" s="36"/>
      <c r="H663" s="35"/>
      <c r="I663" s="35"/>
      <c r="J663" s="35"/>
      <c r="K663" s="37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25">
      <c r="A664" s="39"/>
      <c r="B664" s="39"/>
      <c r="C664" s="150"/>
      <c r="D664" s="150"/>
      <c r="E664" s="39"/>
      <c r="F664" s="35"/>
      <c r="G664" s="36"/>
      <c r="H664" s="35"/>
      <c r="I664" s="35"/>
      <c r="J664" s="35"/>
      <c r="K664" s="37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25">
      <c r="A665" s="39"/>
      <c r="B665" s="39"/>
      <c r="C665" s="150"/>
      <c r="D665" s="150"/>
      <c r="E665" s="39"/>
      <c r="F665" s="35"/>
      <c r="G665" s="36"/>
      <c r="H665" s="35"/>
      <c r="I665" s="35"/>
      <c r="J665" s="35"/>
      <c r="K665" s="37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25">
      <c r="A666" s="39"/>
      <c r="B666" s="39"/>
      <c r="C666" s="150"/>
      <c r="D666" s="150"/>
      <c r="E666" s="39"/>
      <c r="F666" s="35"/>
      <c r="G666" s="36"/>
      <c r="H666" s="35"/>
      <c r="I666" s="35"/>
      <c r="J666" s="35"/>
      <c r="K666" s="37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25">
      <c r="A667" s="39"/>
      <c r="B667" s="39"/>
      <c r="C667" s="150"/>
      <c r="D667" s="150"/>
      <c r="E667" s="39"/>
      <c r="F667" s="35"/>
      <c r="G667" s="36"/>
      <c r="H667" s="35"/>
      <c r="I667" s="35"/>
      <c r="J667" s="35"/>
      <c r="K667" s="37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25">
      <c r="A668" s="39"/>
      <c r="B668" s="39"/>
      <c r="C668" s="150"/>
      <c r="D668" s="150"/>
      <c r="E668" s="39"/>
      <c r="F668" s="35"/>
      <c r="G668" s="36"/>
      <c r="H668" s="35"/>
      <c r="I668" s="35"/>
      <c r="J668" s="35"/>
      <c r="K668" s="37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25">
      <c r="A669" s="39"/>
      <c r="B669" s="39"/>
      <c r="C669" s="150"/>
      <c r="D669" s="150"/>
      <c r="E669" s="39"/>
      <c r="F669" s="35"/>
      <c r="G669" s="36"/>
      <c r="H669" s="35"/>
      <c r="I669" s="35"/>
      <c r="J669" s="35"/>
      <c r="K669" s="37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25">
      <c r="A670" s="39"/>
      <c r="B670" s="39"/>
      <c r="C670" s="150"/>
      <c r="D670" s="150"/>
      <c r="E670" s="39"/>
      <c r="F670" s="35"/>
      <c r="G670" s="36"/>
      <c r="H670" s="35"/>
      <c r="I670" s="35"/>
      <c r="J670" s="35"/>
      <c r="K670" s="37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25">
      <c r="A671" s="39"/>
      <c r="B671" s="39"/>
      <c r="C671" s="150"/>
      <c r="D671" s="150"/>
      <c r="E671" s="39"/>
      <c r="F671" s="35"/>
      <c r="G671" s="36"/>
      <c r="H671" s="35"/>
      <c r="I671" s="35"/>
      <c r="J671" s="35"/>
      <c r="K671" s="37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25">
      <c r="A672" s="39"/>
      <c r="B672" s="39"/>
      <c r="C672" s="150"/>
      <c r="D672" s="150"/>
      <c r="E672" s="39"/>
      <c r="F672" s="35"/>
      <c r="G672" s="36"/>
      <c r="H672" s="35"/>
      <c r="I672" s="35"/>
      <c r="J672" s="35"/>
      <c r="K672" s="37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25">
      <c r="A673" s="39"/>
      <c r="B673" s="39"/>
      <c r="C673" s="150"/>
      <c r="D673" s="150"/>
      <c r="E673" s="39"/>
      <c r="F673" s="35"/>
      <c r="G673" s="36"/>
      <c r="H673" s="35"/>
      <c r="I673" s="35"/>
      <c r="J673" s="35"/>
      <c r="K673" s="37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25">
      <c r="A674" s="39"/>
      <c r="B674" s="39"/>
      <c r="C674" s="150"/>
      <c r="D674" s="150"/>
      <c r="E674" s="39"/>
      <c r="F674" s="35"/>
      <c r="G674" s="36"/>
      <c r="H674" s="35"/>
      <c r="I674" s="35"/>
      <c r="J674" s="35"/>
      <c r="K674" s="37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25">
      <c r="A675" s="39"/>
      <c r="B675" s="39"/>
      <c r="C675" s="150"/>
      <c r="D675" s="150"/>
      <c r="E675" s="39"/>
      <c r="F675" s="35"/>
      <c r="G675" s="36"/>
      <c r="H675" s="35"/>
      <c r="I675" s="35"/>
      <c r="J675" s="35"/>
      <c r="K675" s="37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25">
      <c r="A676" s="39"/>
      <c r="B676" s="39"/>
      <c r="C676" s="150"/>
      <c r="D676" s="150"/>
      <c r="E676" s="39"/>
      <c r="F676" s="35"/>
      <c r="G676" s="36"/>
      <c r="H676" s="35"/>
      <c r="I676" s="35"/>
      <c r="J676" s="35"/>
      <c r="K676" s="37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25">
      <c r="A677" s="39"/>
      <c r="B677" s="39"/>
      <c r="C677" s="150"/>
      <c r="D677" s="150"/>
      <c r="E677" s="39"/>
      <c r="F677" s="35"/>
      <c r="G677" s="36"/>
      <c r="H677" s="35"/>
      <c r="I677" s="35"/>
      <c r="J677" s="35"/>
      <c r="K677" s="37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25">
      <c r="A678" s="39"/>
      <c r="B678" s="39"/>
      <c r="C678" s="150"/>
      <c r="D678" s="150"/>
      <c r="E678" s="39"/>
      <c r="F678" s="35"/>
      <c r="G678" s="36"/>
      <c r="H678" s="35"/>
      <c r="I678" s="35"/>
      <c r="J678" s="35"/>
      <c r="K678" s="37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25">
      <c r="A679" s="39"/>
      <c r="B679" s="39"/>
      <c r="C679" s="150"/>
      <c r="D679" s="150"/>
      <c r="E679" s="39"/>
      <c r="F679" s="35"/>
      <c r="G679" s="36"/>
      <c r="H679" s="35"/>
      <c r="I679" s="35"/>
      <c r="J679" s="35"/>
      <c r="K679" s="37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25">
      <c r="A680" s="39"/>
      <c r="B680" s="39"/>
      <c r="C680" s="150"/>
      <c r="D680" s="150"/>
      <c r="E680" s="39"/>
      <c r="F680" s="35"/>
      <c r="G680" s="36"/>
      <c r="H680" s="35"/>
      <c r="I680" s="35"/>
      <c r="J680" s="35"/>
      <c r="K680" s="37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25">
      <c r="A681" s="39"/>
      <c r="B681" s="39"/>
      <c r="C681" s="150"/>
      <c r="D681" s="150"/>
      <c r="E681" s="39"/>
      <c r="F681" s="35"/>
      <c r="G681" s="36"/>
      <c r="H681" s="35"/>
      <c r="I681" s="35"/>
      <c r="J681" s="35"/>
      <c r="K681" s="37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25">
      <c r="A682" s="39"/>
      <c r="B682" s="39"/>
      <c r="C682" s="150"/>
      <c r="D682" s="150"/>
      <c r="E682" s="39"/>
      <c r="F682" s="35"/>
      <c r="G682" s="36"/>
      <c r="H682" s="35"/>
      <c r="I682" s="35"/>
      <c r="J682" s="35"/>
      <c r="K682" s="37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25">
      <c r="A683" s="39"/>
      <c r="B683" s="39"/>
      <c r="C683" s="150"/>
      <c r="D683" s="150"/>
      <c r="E683" s="39"/>
      <c r="F683" s="35"/>
      <c r="G683" s="36"/>
      <c r="H683" s="35"/>
      <c r="I683" s="35"/>
      <c r="J683" s="35"/>
      <c r="K683" s="37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25">
      <c r="A684" s="39"/>
      <c r="B684" s="39"/>
      <c r="C684" s="150"/>
      <c r="D684" s="150"/>
      <c r="E684" s="39"/>
      <c r="F684" s="35"/>
      <c r="G684" s="36"/>
      <c r="H684" s="35"/>
      <c r="I684" s="35"/>
      <c r="J684" s="35"/>
      <c r="K684" s="37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25">
      <c r="A685" s="39"/>
      <c r="B685" s="39"/>
      <c r="C685" s="150"/>
      <c r="D685" s="150"/>
      <c r="E685" s="39"/>
      <c r="F685" s="35"/>
      <c r="G685" s="36"/>
      <c r="H685" s="35"/>
      <c r="I685" s="35"/>
      <c r="J685" s="35"/>
      <c r="K685" s="37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25">
      <c r="A686" s="39"/>
      <c r="B686" s="39"/>
      <c r="C686" s="150"/>
      <c r="D686" s="150"/>
      <c r="E686" s="39"/>
      <c r="F686" s="35"/>
      <c r="G686" s="36"/>
      <c r="H686" s="35"/>
      <c r="I686" s="35"/>
      <c r="J686" s="35"/>
      <c r="K686" s="37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25">
      <c r="A687" s="39"/>
      <c r="B687" s="39"/>
      <c r="C687" s="150"/>
      <c r="D687" s="150"/>
      <c r="E687" s="39"/>
      <c r="F687" s="35"/>
      <c r="G687" s="36"/>
      <c r="H687" s="35"/>
      <c r="I687" s="35"/>
      <c r="J687" s="35"/>
      <c r="K687" s="37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25">
      <c r="A688" s="39"/>
      <c r="B688" s="39"/>
      <c r="C688" s="150"/>
      <c r="D688" s="150"/>
      <c r="E688" s="39"/>
      <c r="F688" s="35"/>
      <c r="G688" s="36"/>
      <c r="H688" s="35"/>
      <c r="I688" s="35"/>
      <c r="J688" s="35"/>
      <c r="K688" s="37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25">
      <c r="A689" s="39"/>
      <c r="B689" s="39"/>
      <c r="C689" s="150"/>
      <c r="D689" s="150"/>
      <c r="E689" s="39"/>
      <c r="F689" s="35"/>
      <c r="G689" s="36"/>
      <c r="H689" s="35"/>
      <c r="I689" s="35"/>
      <c r="J689" s="35"/>
      <c r="K689" s="37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25">
      <c r="A690" s="39"/>
      <c r="B690" s="39"/>
      <c r="C690" s="150"/>
      <c r="D690" s="150"/>
      <c r="E690" s="39"/>
      <c r="F690" s="35"/>
      <c r="G690" s="36"/>
      <c r="H690" s="35"/>
      <c r="I690" s="35"/>
      <c r="J690" s="35"/>
      <c r="K690" s="37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25">
      <c r="A691" s="39"/>
      <c r="B691" s="39"/>
      <c r="C691" s="150"/>
      <c r="D691" s="150"/>
      <c r="E691" s="39"/>
      <c r="F691" s="35"/>
      <c r="G691" s="36"/>
      <c r="H691" s="35"/>
      <c r="I691" s="35"/>
      <c r="J691" s="35"/>
      <c r="K691" s="37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25">
      <c r="A692" s="39"/>
      <c r="B692" s="39"/>
      <c r="C692" s="150"/>
      <c r="D692" s="150"/>
      <c r="E692" s="39"/>
      <c r="F692" s="35"/>
      <c r="G692" s="36"/>
      <c r="H692" s="35"/>
      <c r="I692" s="35"/>
      <c r="J692" s="35"/>
      <c r="K692" s="37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25">
      <c r="A693" s="39"/>
      <c r="B693" s="39"/>
      <c r="C693" s="150"/>
      <c r="D693" s="150"/>
      <c r="E693" s="39"/>
      <c r="F693" s="35"/>
      <c r="G693" s="36"/>
      <c r="H693" s="35"/>
      <c r="I693" s="35"/>
      <c r="J693" s="35"/>
      <c r="K693" s="37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25">
      <c r="A694" s="39"/>
      <c r="B694" s="39"/>
      <c r="C694" s="150"/>
      <c r="D694" s="150"/>
      <c r="E694" s="39"/>
      <c r="F694" s="35"/>
      <c r="G694" s="36"/>
      <c r="H694" s="35"/>
      <c r="I694" s="35"/>
      <c r="J694" s="35"/>
      <c r="K694" s="37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25">
      <c r="A695" s="39"/>
      <c r="B695" s="39"/>
      <c r="C695" s="150"/>
      <c r="D695" s="150"/>
      <c r="E695" s="39"/>
      <c r="F695" s="35"/>
      <c r="G695" s="36"/>
      <c r="H695" s="35"/>
      <c r="I695" s="35"/>
      <c r="J695" s="35"/>
      <c r="K695" s="37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25">
      <c r="A696" s="39"/>
      <c r="B696" s="39"/>
      <c r="C696" s="150"/>
      <c r="D696" s="150"/>
      <c r="E696" s="39"/>
      <c r="F696" s="35"/>
      <c r="G696" s="36"/>
      <c r="H696" s="35"/>
      <c r="I696" s="35"/>
      <c r="J696" s="35"/>
      <c r="K696" s="37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25">
      <c r="A697" s="39"/>
      <c r="B697" s="39"/>
      <c r="C697" s="150"/>
      <c r="D697" s="150"/>
      <c r="E697" s="39"/>
      <c r="F697" s="35"/>
      <c r="G697" s="36"/>
      <c r="H697" s="35"/>
      <c r="I697" s="35"/>
      <c r="J697" s="35"/>
      <c r="K697" s="37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25">
      <c r="A698" s="39"/>
      <c r="B698" s="39"/>
      <c r="C698" s="150"/>
      <c r="D698" s="150"/>
      <c r="E698" s="39"/>
      <c r="F698" s="35"/>
      <c r="G698" s="36"/>
      <c r="H698" s="35"/>
      <c r="I698" s="35"/>
      <c r="J698" s="35"/>
      <c r="K698" s="37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25">
      <c r="A699" s="39"/>
      <c r="B699" s="39"/>
      <c r="C699" s="150"/>
      <c r="D699" s="150"/>
      <c r="E699" s="39"/>
      <c r="F699" s="35"/>
      <c r="G699" s="36"/>
      <c r="H699" s="35"/>
      <c r="I699" s="35"/>
      <c r="J699" s="35"/>
      <c r="K699" s="37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25">
      <c r="A700" s="39"/>
      <c r="B700" s="39"/>
      <c r="C700" s="150"/>
      <c r="D700" s="150"/>
      <c r="E700" s="39"/>
      <c r="F700" s="35"/>
      <c r="G700" s="36"/>
      <c r="H700" s="35"/>
      <c r="I700" s="35"/>
      <c r="J700" s="35"/>
      <c r="K700" s="37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25">
      <c r="A701" s="39"/>
      <c r="B701" s="39"/>
      <c r="C701" s="150"/>
      <c r="D701" s="150"/>
      <c r="E701" s="39"/>
      <c r="F701" s="35"/>
      <c r="G701" s="36"/>
      <c r="H701" s="35"/>
      <c r="I701" s="35"/>
      <c r="J701" s="35"/>
      <c r="K701" s="37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25">
      <c r="A702" s="39"/>
      <c r="B702" s="39"/>
      <c r="C702" s="150"/>
      <c r="D702" s="150"/>
      <c r="E702" s="39"/>
      <c r="F702" s="35"/>
      <c r="G702" s="36"/>
      <c r="H702" s="35"/>
      <c r="I702" s="35"/>
      <c r="J702" s="35"/>
      <c r="K702" s="37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25">
      <c r="A703" s="39"/>
      <c r="B703" s="39"/>
      <c r="C703" s="150"/>
      <c r="D703" s="150"/>
      <c r="E703" s="39"/>
      <c r="F703" s="35"/>
      <c r="G703" s="36"/>
      <c r="H703" s="35"/>
      <c r="I703" s="35"/>
      <c r="J703" s="35"/>
      <c r="K703" s="37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25">
      <c r="A704" s="39"/>
      <c r="B704" s="39"/>
      <c r="C704" s="150"/>
      <c r="D704" s="150"/>
      <c r="E704" s="39"/>
      <c r="F704" s="35"/>
      <c r="G704" s="36"/>
      <c r="H704" s="35"/>
      <c r="I704" s="35"/>
      <c r="J704" s="35"/>
      <c r="K704" s="37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25">
      <c r="A705" s="39"/>
      <c r="B705" s="39"/>
      <c r="C705" s="150"/>
      <c r="D705" s="150"/>
      <c r="E705" s="39"/>
      <c r="F705" s="35"/>
      <c r="G705" s="36"/>
      <c r="H705" s="35"/>
      <c r="I705" s="35"/>
      <c r="J705" s="35"/>
      <c r="K705" s="37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25">
      <c r="A706" s="39"/>
      <c r="B706" s="39"/>
      <c r="C706" s="150"/>
      <c r="D706" s="150"/>
      <c r="E706" s="39"/>
      <c r="F706" s="35"/>
      <c r="G706" s="36"/>
      <c r="H706" s="35"/>
      <c r="I706" s="35"/>
      <c r="J706" s="35"/>
      <c r="K706" s="37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25">
      <c r="A707" s="39"/>
      <c r="B707" s="39"/>
      <c r="C707" s="150"/>
      <c r="D707" s="150"/>
      <c r="E707" s="39"/>
      <c r="F707" s="35"/>
      <c r="G707" s="36"/>
      <c r="H707" s="35"/>
      <c r="I707" s="35"/>
      <c r="J707" s="35"/>
      <c r="K707" s="37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25">
      <c r="A708" s="39"/>
      <c r="B708" s="39"/>
      <c r="C708" s="150"/>
      <c r="D708" s="150"/>
      <c r="E708" s="39"/>
      <c r="F708" s="35"/>
      <c r="G708" s="36"/>
      <c r="H708" s="35"/>
      <c r="I708" s="35"/>
      <c r="J708" s="35"/>
      <c r="K708" s="37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25">
      <c r="A709" s="39"/>
      <c r="B709" s="39"/>
      <c r="C709" s="150"/>
      <c r="D709" s="150"/>
      <c r="E709" s="39"/>
      <c r="F709" s="35"/>
      <c r="G709" s="36"/>
      <c r="H709" s="35"/>
      <c r="I709" s="35"/>
      <c r="J709" s="35"/>
      <c r="K709" s="37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25">
      <c r="A710" s="39"/>
      <c r="B710" s="39"/>
      <c r="C710" s="150"/>
      <c r="D710" s="150"/>
      <c r="E710" s="39"/>
      <c r="F710" s="35"/>
      <c r="G710" s="36"/>
      <c r="H710" s="35"/>
      <c r="I710" s="35"/>
      <c r="J710" s="35"/>
      <c r="K710" s="37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25">
      <c r="A711" s="39"/>
      <c r="B711" s="39"/>
      <c r="C711" s="150"/>
      <c r="D711" s="150"/>
      <c r="E711" s="39"/>
      <c r="F711" s="35"/>
      <c r="G711" s="36"/>
      <c r="H711" s="35"/>
      <c r="I711" s="35"/>
      <c r="J711" s="35"/>
      <c r="K711" s="37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25">
      <c r="A712" s="39"/>
      <c r="B712" s="39"/>
      <c r="C712" s="150"/>
      <c r="D712" s="150"/>
      <c r="E712" s="39"/>
      <c r="F712" s="35"/>
      <c r="G712" s="36"/>
      <c r="H712" s="35"/>
      <c r="I712" s="35"/>
      <c r="J712" s="35"/>
      <c r="K712" s="37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25">
      <c r="A713" s="39"/>
      <c r="B713" s="39"/>
      <c r="C713" s="150"/>
      <c r="D713" s="150"/>
      <c r="E713" s="39"/>
      <c r="F713" s="35"/>
      <c r="G713" s="36"/>
      <c r="H713" s="35"/>
      <c r="I713" s="35"/>
      <c r="J713" s="35"/>
      <c r="K713" s="37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25">
      <c r="A714" s="39"/>
      <c r="B714" s="39"/>
      <c r="C714" s="150"/>
      <c r="D714" s="150"/>
      <c r="E714" s="39"/>
      <c r="F714" s="35"/>
      <c r="G714" s="36"/>
      <c r="H714" s="35"/>
      <c r="I714" s="35"/>
      <c r="J714" s="35"/>
      <c r="K714" s="37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25">
      <c r="A715" s="39"/>
      <c r="B715" s="39"/>
      <c r="C715" s="150"/>
      <c r="D715" s="150"/>
      <c r="E715" s="39"/>
      <c r="F715" s="35"/>
      <c r="G715" s="36"/>
      <c r="H715" s="35"/>
      <c r="I715" s="35"/>
      <c r="J715" s="35"/>
      <c r="K715" s="37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25">
      <c r="A716" s="39"/>
      <c r="B716" s="39"/>
      <c r="C716" s="150"/>
      <c r="D716" s="150"/>
      <c r="E716" s="39"/>
      <c r="F716" s="35"/>
      <c r="G716" s="36"/>
      <c r="H716" s="35"/>
      <c r="I716" s="35"/>
      <c r="J716" s="35"/>
      <c r="K716" s="37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25">
      <c r="A717" s="39"/>
      <c r="B717" s="39"/>
      <c r="C717" s="150"/>
      <c r="D717" s="150"/>
      <c r="E717" s="39"/>
      <c r="F717" s="35"/>
      <c r="G717" s="36"/>
      <c r="H717" s="35"/>
      <c r="I717" s="35"/>
      <c r="J717" s="35"/>
      <c r="K717" s="37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25">
      <c r="A718" s="39"/>
      <c r="B718" s="39"/>
      <c r="C718" s="150"/>
      <c r="D718" s="150"/>
      <c r="E718" s="39"/>
      <c r="F718" s="35"/>
      <c r="G718" s="36"/>
      <c r="H718" s="35"/>
      <c r="I718" s="35"/>
      <c r="J718" s="35"/>
      <c r="K718" s="37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25">
      <c r="A719" s="39"/>
      <c r="B719" s="39"/>
      <c r="C719" s="150"/>
      <c r="D719" s="150"/>
      <c r="E719" s="39"/>
      <c r="F719" s="35"/>
      <c r="G719" s="36"/>
      <c r="H719" s="35"/>
      <c r="I719" s="35"/>
      <c r="J719" s="35"/>
      <c r="K719" s="37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25">
      <c r="A720" s="39"/>
      <c r="B720" s="39"/>
      <c r="C720" s="150"/>
      <c r="D720" s="150"/>
      <c r="E720" s="39"/>
      <c r="F720" s="35"/>
      <c r="G720" s="36"/>
      <c r="H720" s="35"/>
      <c r="I720" s="35"/>
      <c r="J720" s="35"/>
      <c r="K720" s="37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25">
      <c r="A721" s="39"/>
      <c r="B721" s="39"/>
      <c r="C721" s="150"/>
      <c r="D721" s="150"/>
      <c r="E721" s="39"/>
      <c r="F721" s="35"/>
      <c r="G721" s="36"/>
      <c r="H721" s="35"/>
      <c r="I721" s="35"/>
      <c r="J721" s="35"/>
      <c r="K721" s="37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25">
      <c r="A722" s="39"/>
      <c r="B722" s="39"/>
      <c r="C722" s="150"/>
      <c r="D722" s="150"/>
      <c r="E722" s="39"/>
      <c r="F722" s="35"/>
      <c r="G722" s="36"/>
      <c r="H722" s="35"/>
      <c r="I722" s="35"/>
      <c r="J722" s="35"/>
      <c r="K722" s="37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25">
      <c r="A723" s="39"/>
      <c r="B723" s="39"/>
      <c r="C723" s="150"/>
      <c r="D723" s="150"/>
      <c r="E723" s="39"/>
      <c r="F723" s="35"/>
      <c r="G723" s="36"/>
      <c r="H723" s="35"/>
      <c r="I723" s="35"/>
      <c r="J723" s="35"/>
      <c r="K723" s="37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25">
      <c r="A724" s="39"/>
      <c r="B724" s="39"/>
      <c r="C724" s="150"/>
      <c r="D724" s="150"/>
      <c r="E724" s="39"/>
      <c r="F724" s="35"/>
      <c r="G724" s="36"/>
      <c r="H724" s="35"/>
      <c r="I724" s="35"/>
      <c r="J724" s="35"/>
      <c r="K724" s="37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25">
      <c r="A725" s="39"/>
      <c r="B725" s="39"/>
      <c r="C725" s="150"/>
      <c r="D725" s="150"/>
      <c r="E725" s="39"/>
      <c r="F725" s="35"/>
      <c r="G725" s="36"/>
      <c r="H725" s="35"/>
      <c r="I725" s="35"/>
      <c r="J725" s="35"/>
      <c r="K725" s="37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25">
      <c r="A726" s="39"/>
      <c r="B726" s="39"/>
      <c r="C726" s="150"/>
      <c r="D726" s="150"/>
      <c r="E726" s="39"/>
      <c r="F726" s="35"/>
      <c r="G726" s="36"/>
      <c r="H726" s="35"/>
      <c r="I726" s="35"/>
      <c r="J726" s="35"/>
      <c r="K726" s="37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25">
      <c r="A727" s="39"/>
      <c r="B727" s="39"/>
      <c r="C727" s="150"/>
      <c r="D727" s="150"/>
      <c r="E727" s="39"/>
      <c r="F727" s="35"/>
      <c r="G727" s="36"/>
      <c r="H727" s="35"/>
      <c r="I727" s="35"/>
      <c r="J727" s="35"/>
      <c r="K727" s="37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25">
      <c r="A728" s="39"/>
      <c r="B728" s="39"/>
      <c r="C728" s="150"/>
      <c r="D728" s="150"/>
      <c r="E728" s="39"/>
      <c r="F728" s="35"/>
      <c r="G728" s="36"/>
      <c r="H728" s="35"/>
      <c r="I728" s="35"/>
      <c r="J728" s="35"/>
      <c r="K728" s="37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25">
      <c r="A729" s="39"/>
      <c r="B729" s="39"/>
      <c r="C729" s="150"/>
      <c r="D729" s="150"/>
      <c r="E729" s="39"/>
      <c r="F729" s="35"/>
      <c r="G729" s="36"/>
      <c r="H729" s="35"/>
      <c r="I729" s="35"/>
      <c r="J729" s="35"/>
      <c r="K729" s="37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25">
      <c r="A730" s="39"/>
      <c r="B730" s="39"/>
      <c r="C730" s="150"/>
      <c r="D730" s="150"/>
      <c r="E730" s="39"/>
      <c r="F730" s="35"/>
      <c r="G730" s="36"/>
      <c r="H730" s="35"/>
      <c r="I730" s="35"/>
      <c r="J730" s="35"/>
      <c r="K730" s="37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25">
      <c r="A731" s="39"/>
      <c r="B731" s="39"/>
      <c r="C731" s="150"/>
      <c r="D731" s="150"/>
      <c r="E731" s="39"/>
      <c r="F731" s="35"/>
      <c r="G731" s="36"/>
      <c r="H731" s="35"/>
      <c r="I731" s="35"/>
      <c r="J731" s="35"/>
      <c r="K731" s="37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25">
      <c r="A732" s="39"/>
      <c r="B732" s="39"/>
      <c r="C732" s="150"/>
      <c r="D732" s="150"/>
      <c r="E732" s="39"/>
      <c r="F732" s="35"/>
      <c r="G732" s="36"/>
      <c r="H732" s="35"/>
      <c r="I732" s="35"/>
      <c r="J732" s="35"/>
      <c r="K732" s="37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25">
      <c r="A733" s="39"/>
      <c r="B733" s="39"/>
      <c r="C733" s="150"/>
      <c r="D733" s="150"/>
      <c r="E733" s="39"/>
      <c r="F733" s="35"/>
      <c r="G733" s="36"/>
      <c r="H733" s="35"/>
      <c r="I733" s="35"/>
      <c r="J733" s="35"/>
      <c r="K733" s="37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25">
      <c r="A734" s="39"/>
      <c r="B734" s="39"/>
      <c r="C734" s="150"/>
      <c r="D734" s="150"/>
      <c r="E734" s="39"/>
      <c r="F734" s="35"/>
      <c r="G734" s="36"/>
      <c r="H734" s="35"/>
      <c r="I734" s="35"/>
      <c r="J734" s="35"/>
      <c r="K734" s="37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25">
      <c r="A735" s="39"/>
      <c r="B735" s="39"/>
      <c r="C735" s="150"/>
      <c r="D735" s="150"/>
      <c r="E735" s="39"/>
      <c r="F735" s="35"/>
      <c r="G735" s="36"/>
      <c r="H735" s="35"/>
      <c r="I735" s="35"/>
      <c r="J735" s="35"/>
      <c r="K735" s="37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25">
      <c r="A736" s="39"/>
      <c r="B736" s="39"/>
      <c r="C736" s="150"/>
      <c r="D736" s="150"/>
      <c r="E736" s="39"/>
      <c r="F736" s="35"/>
      <c r="G736" s="36"/>
      <c r="H736" s="35"/>
      <c r="I736" s="35"/>
      <c r="J736" s="35"/>
      <c r="K736" s="37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25">
      <c r="A737" s="39"/>
      <c r="B737" s="39"/>
      <c r="C737" s="150"/>
      <c r="D737" s="150"/>
      <c r="E737" s="39"/>
      <c r="F737" s="35"/>
      <c r="G737" s="36"/>
      <c r="H737" s="35"/>
      <c r="I737" s="35"/>
      <c r="J737" s="35"/>
      <c r="K737" s="37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25">
      <c r="A738" s="39"/>
      <c r="B738" s="39"/>
      <c r="C738" s="150"/>
      <c r="D738" s="150"/>
      <c r="E738" s="39"/>
      <c r="F738" s="35"/>
      <c r="G738" s="36"/>
      <c r="H738" s="35"/>
      <c r="I738" s="35"/>
      <c r="J738" s="35"/>
      <c r="K738" s="37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25">
      <c r="A739" s="39"/>
      <c r="B739" s="39"/>
      <c r="C739" s="150"/>
      <c r="D739" s="150"/>
      <c r="E739" s="39"/>
      <c r="F739" s="35"/>
      <c r="G739" s="36"/>
      <c r="H739" s="35"/>
      <c r="I739" s="35"/>
      <c r="J739" s="35"/>
      <c r="K739" s="37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25">
      <c r="A740" s="39"/>
      <c r="B740" s="39"/>
      <c r="C740" s="150"/>
      <c r="D740" s="150"/>
      <c r="E740" s="39"/>
      <c r="F740" s="35"/>
      <c r="G740" s="36"/>
      <c r="H740" s="35"/>
      <c r="I740" s="35"/>
      <c r="J740" s="35"/>
      <c r="K740" s="37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25">
      <c r="A741" s="39"/>
      <c r="B741" s="39"/>
      <c r="C741" s="150"/>
      <c r="D741" s="150"/>
      <c r="E741" s="39"/>
      <c r="F741" s="35"/>
      <c r="G741" s="36"/>
      <c r="H741" s="35"/>
      <c r="I741" s="35"/>
      <c r="J741" s="35"/>
      <c r="K741" s="37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25">
      <c r="A742" s="39"/>
      <c r="B742" s="39"/>
      <c r="C742" s="150"/>
      <c r="D742" s="150"/>
      <c r="E742" s="39"/>
      <c r="F742" s="35"/>
      <c r="G742" s="36"/>
      <c r="H742" s="35"/>
      <c r="I742" s="35"/>
      <c r="J742" s="35"/>
      <c r="K742" s="37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25">
      <c r="A743" s="39"/>
      <c r="B743" s="39"/>
      <c r="C743" s="150"/>
      <c r="D743" s="150"/>
      <c r="E743" s="39"/>
      <c r="F743" s="35"/>
      <c r="G743" s="36"/>
      <c r="H743" s="35"/>
      <c r="I743" s="35"/>
      <c r="J743" s="35"/>
      <c r="K743" s="37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25">
      <c r="A744" s="39"/>
      <c r="B744" s="39"/>
      <c r="C744" s="150"/>
      <c r="D744" s="150"/>
      <c r="E744" s="39"/>
      <c r="F744" s="35"/>
      <c r="G744" s="36"/>
      <c r="H744" s="35"/>
      <c r="I744" s="35"/>
      <c r="J744" s="35"/>
      <c r="K744" s="37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25">
      <c r="A745" s="39"/>
      <c r="B745" s="39"/>
      <c r="C745" s="150"/>
      <c r="D745" s="150"/>
      <c r="E745" s="39"/>
      <c r="F745" s="35"/>
      <c r="G745" s="36"/>
      <c r="H745" s="35"/>
      <c r="I745" s="35"/>
      <c r="J745" s="35"/>
      <c r="K745" s="37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25">
      <c r="A746" s="39"/>
      <c r="B746" s="39"/>
      <c r="C746" s="150"/>
      <c r="D746" s="150"/>
      <c r="E746" s="39"/>
      <c r="F746" s="35"/>
      <c r="G746" s="36"/>
      <c r="H746" s="35"/>
      <c r="I746" s="35"/>
      <c r="J746" s="35"/>
      <c r="K746" s="37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25">
      <c r="A747" s="39"/>
      <c r="B747" s="39"/>
      <c r="C747" s="150"/>
      <c r="D747" s="150"/>
      <c r="E747" s="39"/>
      <c r="F747" s="35"/>
      <c r="G747" s="36"/>
      <c r="H747" s="35"/>
      <c r="I747" s="35"/>
      <c r="J747" s="35"/>
      <c r="K747" s="37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25">
      <c r="A748" s="39"/>
      <c r="B748" s="39"/>
      <c r="C748" s="150"/>
      <c r="D748" s="150"/>
      <c r="E748" s="39"/>
      <c r="F748" s="35"/>
      <c r="G748" s="36"/>
      <c r="H748" s="35"/>
      <c r="I748" s="35"/>
      <c r="J748" s="35"/>
      <c r="K748" s="37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</sheetData>
  <autoFilter ref="A5:E505" xr:uid="{00000000-0009-0000-0000-000002000000}"/>
  <mergeCells count="2">
    <mergeCell ref="A1:E1"/>
    <mergeCell ref="D2:E2"/>
  </mergeCells>
  <phoneticPr fontId="94" type="noConversion"/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92D050"/>
  </sheetPr>
  <dimension ref="A1:Z1028"/>
  <sheetViews>
    <sheetView zoomScaleNormal="100" workbookViewId="0">
      <pane ySplit="5" topLeftCell="A6" activePane="bottomLeft" state="frozen"/>
      <selection pane="bottomLeft" activeCell="G31" sqref="G31"/>
    </sheetView>
  </sheetViews>
  <sheetFormatPr baseColWidth="10" defaultColWidth="14.42578125" defaultRowHeight="15" customHeight="1" x14ac:dyDescent="0.25"/>
  <cols>
    <col min="1" max="1" width="14" customWidth="1"/>
    <col min="2" max="2" width="67" customWidth="1"/>
    <col min="3" max="4" width="12.5703125" customWidth="1"/>
    <col min="5" max="5" width="15.140625" style="143" customWidth="1"/>
    <col min="6" max="6" width="13.85546875" bestFit="1" customWidth="1"/>
    <col min="7" max="7" width="16.5703125" customWidth="1"/>
    <col min="8" max="8" width="5.7109375" customWidth="1"/>
    <col min="9" max="9" width="9.140625" customWidth="1"/>
    <col min="10" max="10" width="11.42578125" customWidth="1"/>
    <col min="11" max="26" width="10.7109375" customWidth="1"/>
  </cols>
  <sheetData>
    <row r="1" spans="1:26" ht="27.75" customHeight="1" thickBot="1" x14ac:dyDescent="0.3">
      <c r="A1" s="307" t="s">
        <v>0</v>
      </c>
      <c r="B1" s="308"/>
      <c r="C1" s="308"/>
      <c r="D1" s="309"/>
      <c r="E1" s="31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156" t="s">
        <v>15</v>
      </c>
      <c r="B2" s="157"/>
      <c r="C2" s="158"/>
      <c r="D2" s="311" t="s">
        <v>66</v>
      </c>
      <c r="E2" s="31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57" t="s">
        <v>16</v>
      </c>
      <c r="B3" s="159"/>
      <c r="C3" s="160"/>
      <c r="D3" s="161" t="s">
        <v>3</v>
      </c>
      <c r="E3" s="58">
        <f>'[1]BANREGIO GTS'!$E$4</f>
        <v>3064.1499999999987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thickBot="1" x14ac:dyDescent="0.3">
      <c r="A4" s="59" t="s">
        <v>4</v>
      </c>
      <c r="B4" s="60"/>
      <c r="C4" s="61"/>
      <c r="D4" s="62" t="s">
        <v>5</v>
      </c>
      <c r="E4" s="162">
        <f>E91</f>
        <v>2644.349999999999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42" customFormat="1" ht="13.5" customHeight="1" x14ac:dyDescent="0.25">
      <c r="A5" s="98" t="s">
        <v>6</v>
      </c>
      <c r="B5" s="98" t="s">
        <v>7</v>
      </c>
      <c r="C5" s="99" t="s">
        <v>8</v>
      </c>
      <c r="D5" s="100" t="s">
        <v>9</v>
      </c>
      <c r="E5" s="140" t="s">
        <v>10</v>
      </c>
      <c r="F5" s="40"/>
      <c r="G5" s="45"/>
      <c r="H5" s="40"/>
      <c r="I5" s="40"/>
      <c r="J5" s="41"/>
      <c r="K5" s="40"/>
      <c r="L5" s="41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s="42" customFormat="1" ht="13.5" customHeight="1" x14ac:dyDescent="0.25">
      <c r="A6" s="51">
        <v>46056</v>
      </c>
      <c r="B6" s="170" t="s">
        <v>70</v>
      </c>
      <c r="C6" s="335">
        <v>325</v>
      </c>
      <c r="D6" s="336"/>
      <c r="E6" s="281">
        <f>E3-C6+D6</f>
        <v>2739.1499999999987</v>
      </c>
      <c r="F6" s="189"/>
      <c r="G6" s="282"/>
      <c r="H6" s="192"/>
      <c r="I6" s="194"/>
      <c r="J6" s="174"/>
      <c r="K6" s="45"/>
      <c r="L6" s="10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s="42" customFormat="1" ht="13.5" customHeight="1" x14ac:dyDescent="0.25">
      <c r="A7" s="51">
        <v>46056</v>
      </c>
      <c r="B7" s="170" t="s">
        <v>71</v>
      </c>
      <c r="C7" s="335">
        <v>199</v>
      </c>
      <c r="D7" s="336"/>
      <c r="E7" s="281">
        <f>E6-C7+D7</f>
        <v>2540.1499999999987</v>
      </c>
      <c r="F7" s="189"/>
      <c r="G7" s="282"/>
      <c r="H7" s="192"/>
      <c r="I7" s="194"/>
      <c r="J7" s="174"/>
      <c r="K7" s="45"/>
      <c r="L7" s="10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s="42" customFormat="1" ht="13.5" customHeight="1" x14ac:dyDescent="0.25">
      <c r="A8" s="51">
        <v>46056</v>
      </c>
      <c r="B8" s="170" t="s">
        <v>72</v>
      </c>
      <c r="C8" s="335">
        <v>149</v>
      </c>
      <c r="D8" s="336"/>
      <c r="E8" s="281">
        <f t="shared" ref="E8:E71" si="0">E7-C8+D8</f>
        <v>2391.1499999999987</v>
      </c>
      <c r="F8" s="331"/>
      <c r="G8" s="332"/>
      <c r="H8" s="192"/>
      <c r="I8" s="194"/>
      <c r="J8" s="174"/>
      <c r="K8" s="45"/>
      <c r="L8" s="10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s="42" customFormat="1" ht="13.5" customHeight="1" x14ac:dyDescent="0.25">
      <c r="A9" s="51">
        <v>46056</v>
      </c>
      <c r="B9" s="170" t="s">
        <v>73</v>
      </c>
      <c r="C9" s="336"/>
      <c r="D9" s="335">
        <v>4000</v>
      </c>
      <c r="E9" s="281">
        <f t="shared" si="0"/>
        <v>6391.1499999999987</v>
      </c>
      <c r="F9" s="284"/>
      <c r="G9" s="282"/>
      <c r="H9" s="192"/>
      <c r="I9" s="194"/>
      <c r="J9" s="174"/>
      <c r="K9" s="45"/>
      <c r="L9" s="10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s="42" customFormat="1" ht="13.5" customHeight="1" x14ac:dyDescent="0.25">
      <c r="A10" s="51">
        <v>46058</v>
      </c>
      <c r="B10" s="170" t="s">
        <v>103</v>
      </c>
      <c r="C10" s="335">
        <v>776.04</v>
      </c>
      <c r="D10" s="336"/>
      <c r="E10" s="281">
        <f t="shared" si="0"/>
        <v>5615.1099999999988</v>
      </c>
      <c r="F10" s="283"/>
      <c r="G10" s="282"/>
      <c r="H10" s="192"/>
      <c r="I10" s="194"/>
      <c r="J10" s="174"/>
      <c r="K10" s="45"/>
      <c r="L10" s="10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s="42" customFormat="1" ht="13.5" customHeight="1" x14ac:dyDescent="0.25">
      <c r="A11" s="51">
        <v>46058</v>
      </c>
      <c r="B11" s="170" t="s">
        <v>104</v>
      </c>
      <c r="C11" s="335">
        <v>1552.08</v>
      </c>
      <c r="D11" s="336"/>
      <c r="E11" s="281">
        <f t="shared" si="0"/>
        <v>4063.0299999999988</v>
      </c>
      <c r="F11" s="283"/>
      <c r="G11" s="282"/>
      <c r="H11" s="192"/>
      <c r="I11" s="194"/>
      <c r="J11" s="174"/>
      <c r="K11" s="45"/>
      <c r="L11" s="10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s="42" customFormat="1" ht="13.5" customHeight="1" x14ac:dyDescent="0.25">
      <c r="A12" s="51">
        <v>46058</v>
      </c>
      <c r="B12" s="170" t="s">
        <v>105</v>
      </c>
      <c r="C12" s="335">
        <v>3880.26</v>
      </c>
      <c r="D12" s="336"/>
      <c r="E12" s="281">
        <f t="shared" si="0"/>
        <v>182.76999999999862</v>
      </c>
      <c r="F12" s="285"/>
      <c r="G12" s="174"/>
      <c r="H12" s="192"/>
      <c r="I12" s="194"/>
      <c r="J12" s="174"/>
      <c r="K12" s="45"/>
      <c r="L12" s="10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s="42" customFormat="1" ht="13.5" customHeight="1" x14ac:dyDescent="0.25">
      <c r="A13" s="51">
        <v>46059</v>
      </c>
      <c r="B13" s="170" t="s">
        <v>73</v>
      </c>
      <c r="C13" s="336"/>
      <c r="D13" s="335">
        <v>2000</v>
      </c>
      <c r="E13" s="281">
        <f t="shared" si="0"/>
        <v>2182.7699999999986</v>
      </c>
      <c r="F13" s="198"/>
      <c r="G13" s="174"/>
      <c r="H13" s="192"/>
      <c r="I13" s="194"/>
      <c r="J13" s="174"/>
      <c r="K13" s="45"/>
      <c r="L13" s="10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s="42" customFormat="1" ht="13.5" customHeight="1" x14ac:dyDescent="0.25">
      <c r="A14" s="51">
        <v>46062</v>
      </c>
      <c r="B14" s="170" t="s">
        <v>73</v>
      </c>
      <c r="C14" s="336"/>
      <c r="D14" s="335">
        <v>3000</v>
      </c>
      <c r="E14" s="281">
        <f t="shared" si="0"/>
        <v>5182.7699999999986</v>
      </c>
      <c r="F14" s="198"/>
      <c r="G14" s="174"/>
      <c r="H14" s="192"/>
      <c r="I14" s="194"/>
      <c r="J14" s="174"/>
      <c r="K14" s="45"/>
      <c r="L14" s="10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s="42" customFormat="1" ht="13.5" customHeight="1" x14ac:dyDescent="0.25">
      <c r="A15" s="51">
        <v>46062</v>
      </c>
      <c r="B15" s="170" t="s">
        <v>200</v>
      </c>
      <c r="C15" s="335">
        <v>372.82</v>
      </c>
      <c r="D15" s="336"/>
      <c r="E15" s="281">
        <f t="shared" si="0"/>
        <v>4809.9499999999989</v>
      </c>
      <c r="F15" s="198"/>
      <c r="G15" s="174"/>
      <c r="H15" s="192"/>
      <c r="I15" s="194"/>
      <c r="J15" s="174"/>
      <c r="K15" s="45"/>
      <c r="L15" s="10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s="42" customFormat="1" ht="13.5" customHeight="1" x14ac:dyDescent="0.25">
      <c r="A16" s="51">
        <v>46062</v>
      </c>
      <c r="B16" s="170" t="s">
        <v>73</v>
      </c>
      <c r="C16" s="336"/>
      <c r="D16" s="335">
        <v>4000</v>
      </c>
      <c r="E16" s="281">
        <f t="shared" si="0"/>
        <v>8809.9499999999989</v>
      </c>
      <c r="F16" s="198"/>
      <c r="G16" s="174"/>
      <c r="H16" s="192"/>
      <c r="I16" s="194"/>
      <c r="J16" s="174"/>
      <c r="K16" s="45"/>
      <c r="L16" s="10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s="42" customFormat="1" ht="13.5" customHeight="1" x14ac:dyDescent="0.25">
      <c r="A17" s="51">
        <v>46063</v>
      </c>
      <c r="B17" s="170" t="s">
        <v>73</v>
      </c>
      <c r="C17" s="336"/>
      <c r="D17" s="335">
        <v>4000</v>
      </c>
      <c r="E17" s="281">
        <f t="shared" si="0"/>
        <v>12809.949999999999</v>
      </c>
      <c r="F17" s="198"/>
      <c r="G17" s="174"/>
      <c r="H17" s="192"/>
      <c r="I17" s="194"/>
      <c r="J17" s="174"/>
      <c r="K17" s="45"/>
      <c r="L17" s="10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s="42" customFormat="1" ht="13.5" customHeight="1" x14ac:dyDescent="0.25">
      <c r="A18" s="51">
        <v>46063</v>
      </c>
      <c r="B18" s="170" t="s">
        <v>217</v>
      </c>
      <c r="C18" s="335">
        <v>775.68</v>
      </c>
      <c r="D18" s="336"/>
      <c r="E18" s="281">
        <f t="shared" si="0"/>
        <v>12034.269999999999</v>
      </c>
      <c r="F18" s="284"/>
      <c r="G18" s="174"/>
      <c r="H18" s="192"/>
      <c r="I18" s="194"/>
      <c r="J18" s="174"/>
      <c r="K18" s="45"/>
      <c r="L18" s="10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s="42" customFormat="1" ht="13.5" customHeight="1" x14ac:dyDescent="0.25">
      <c r="A19" s="51">
        <v>46063</v>
      </c>
      <c r="B19" s="170" t="s">
        <v>218</v>
      </c>
      <c r="C19" s="335">
        <v>1551.36</v>
      </c>
      <c r="D19" s="336"/>
      <c r="E19" s="281">
        <f t="shared" si="0"/>
        <v>10482.909999999998</v>
      </c>
      <c r="F19" s="284"/>
      <c r="G19" s="174"/>
      <c r="H19" s="192"/>
      <c r="I19" s="194"/>
      <c r="J19" s="174"/>
      <c r="K19" s="45"/>
      <c r="L19" s="10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s="42" customFormat="1" ht="13.5" customHeight="1" x14ac:dyDescent="0.25">
      <c r="A20" s="51">
        <v>46064</v>
      </c>
      <c r="B20" s="170" t="s">
        <v>219</v>
      </c>
      <c r="C20" s="335">
        <v>439.63</v>
      </c>
      <c r="D20" s="336"/>
      <c r="E20" s="281">
        <f t="shared" si="0"/>
        <v>10043.279999999999</v>
      </c>
      <c r="F20" s="284"/>
      <c r="G20" s="174"/>
      <c r="H20" s="192"/>
      <c r="I20" s="194"/>
      <c r="J20" s="174"/>
      <c r="K20" s="45"/>
      <c r="L20" s="10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s="42" customFormat="1" ht="13.5" customHeight="1" x14ac:dyDescent="0.25">
      <c r="A21" s="51">
        <v>46064</v>
      </c>
      <c r="B21" s="170" t="s">
        <v>267</v>
      </c>
      <c r="C21" s="335">
        <v>4282</v>
      </c>
      <c r="D21" s="336"/>
      <c r="E21" s="281">
        <f t="shared" si="0"/>
        <v>5761.2799999999988</v>
      </c>
      <c r="F21" s="198"/>
      <c r="G21" s="174"/>
      <c r="H21" s="192"/>
      <c r="I21" s="194"/>
      <c r="J21" s="174"/>
      <c r="K21" s="45"/>
      <c r="L21" s="10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s="42" customFormat="1" ht="13.5" customHeight="1" x14ac:dyDescent="0.25">
      <c r="A22" s="51">
        <v>46064</v>
      </c>
      <c r="B22" s="170" t="s">
        <v>268</v>
      </c>
      <c r="C22" s="335">
        <v>3916.29</v>
      </c>
      <c r="D22" s="336"/>
      <c r="E22" s="281">
        <f t="shared" si="0"/>
        <v>1844.9899999999989</v>
      </c>
      <c r="F22" s="198"/>
      <c r="G22" s="174"/>
      <c r="H22" s="192"/>
      <c r="I22" s="194"/>
      <c r="J22" s="174"/>
      <c r="K22" s="45"/>
      <c r="L22" s="10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s="42" customFormat="1" ht="13.5" customHeight="1" x14ac:dyDescent="0.25">
      <c r="A23" s="51">
        <v>46069</v>
      </c>
      <c r="B23" s="170" t="s">
        <v>367</v>
      </c>
      <c r="C23" s="335">
        <v>700.64</v>
      </c>
      <c r="D23" s="336"/>
      <c r="E23" s="281">
        <f t="shared" si="0"/>
        <v>1144.349999999999</v>
      </c>
      <c r="F23" s="198"/>
      <c r="G23" s="174"/>
      <c r="H23" s="192"/>
      <c r="I23" s="194"/>
      <c r="J23" s="174"/>
      <c r="K23" s="45"/>
      <c r="L23" s="10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s="42" customFormat="1" ht="13.5" customHeight="1" x14ac:dyDescent="0.25">
      <c r="A24" s="51">
        <v>46069</v>
      </c>
      <c r="B24" s="170" t="s">
        <v>73</v>
      </c>
      <c r="C24" s="336"/>
      <c r="D24" s="335">
        <v>1500</v>
      </c>
      <c r="E24" s="281">
        <f t="shared" si="0"/>
        <v>2644.349999999999</v>
      </c>
      <c r="F24" s="286"/>
      <c r="G24" s="174"/>
      <c r="H24" s="192"/>
      <c r="I24" s="194"/>
      <c r="J24" s="174"/>
      <c r="K24" s="45"/>
      <c r="L24" s="10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s="42" customFormat="1" ht="13.5" customHeight="1" x14ac:dyDescent="0.25">
      <c r="A25" s="175"/>
      <c r="B25" s="170"/>
      <c r="C25" s="335"/>
      <c r="D25" s="336"/>
      <c r="E25" s="281">
        <f t="shared" si="0"/>
        <v>2644.349999999999</v>
      </c>
      <c r="F25" s="198"/>
      <c r="G25" s="174"/>
      <c r="H25" s="192"/>
      <c r="I25" s="194"/>
      <c r="J25" s="174"/>
      <c r="K25" s="45"/>
      <c r="L25" s="10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s="42" customFormat="1" ht="13.5" customHeight="1" x14ac:dyDescent="0.25">
      <c r="A26" s="175"/>
      <c r="B26" s="170"/>
      <c r="C26" s="170"/>
      <c r="D26" s="287"/>
      <c r="E26" s="281">
        <f t="shared" si="0"/>
        <v>2644.349999999999</v>
      </c>
      <c r="F26" s="198"/>
      <c r="G26" s="174"/>
      <c r="H26" s="192"/>
      <c r="I26" s="194"/>
      <c r="J26" s="174"/>
      <c r="K26" s="45"/>
      <c r="L26" s="10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s="42" customFormat="1" ht="13.5" customHeight="1" x14ac:dyDescent="0.25">
      <c r="A27" s="175"/>
      <c r="B27" s="170"/>
      <c r="C27" s="210"/>
      <c r="D27" s="170"/>
      <c r="E27" s="281">
        <f t="shared" si="0"/>
        <v>2644.349999999999</v>
      </c>
      <c r="F27" s="198"/>
      <c r="G27" s="174"/>
      <c r="H27" s="192"/>
      <c r="I27" s="194"/>
      <c r="J27" s="174"/>
      <c r="K27" s="45"/>
      <c r="L27" s="10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s="42" customFormat="1" ht="13.5" customHeight="1" x14ac:dyDescent="0.25">
      <c r="A28" s="175"/>
      <c r="B28" s="170"/>
      <c r="C28" s="210"/>
      <c r="D28" s="170"/>
      <c r="E28" s="281">
        <f t="shared" si="0"/>
        <v>2644.349999999999</v>
      </c>
      <c r="F28" s="198"/>
      <c r="G28" s="174"/>
      <c r="H28" s="192"/>
      <c r="I28" s="194"/>
      <c r="J28" s="174"/>
      <c r="K28" s="45"/>
      <c r="L28" s="10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s="42" customFormat="1" ht="13.5" customHeight="1" x14ac:dyDescent="0.25">
      <c r="A29" s="175"/>
      <c r="B29" s="170"/>
      <c r="C29" s="170"/>
      <c r="D29" s="210"/>
      <c r="E29" s="281">
        <f t="shared" si="0"/>
        <v>2644.349999999999</v>
      </c>
      <c r="F29" s="198"/>
      <c r="G29" s="174"/>
      <c r="H29" s="192"/>
      <c r="I29" s="194"/>
      <c r="J29" s="174"/>
      <c r="K29" s="45"/>
      <c r="L29" s="10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s="42" customFormat="1" ht="13.5" customHeight="1" x14ac:dyDescent="0.25">
      <c r="A30" s="175"/>
      <c r="B30" s="170"/>
      <c r="C30" s="170"/>
      <c r="D30" s="210"/>
      <c r="E30" s="281">
        <f t="shared" si="0"/>
        <v>2644.349999999999</v>
      </c>
      <c r="F30" s="284"/>
      <c r="G30" s="174"/>
      <c r="H30" s="192"/>
      <c r="I30" s="194"/>
      <c r="J30" s="174"/>
      <c r="K30" s="45"/>
      <c r="L30" s="10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s="42" customFormat="1" ht="13.5" customHeight="1" x14ac:dyDescent="0.25">
      <c r="A31" s="175"/>
      <c r="B31" s="170"/>
      <c r="C31" s="210"/>
      <c r="D31" s="170"/>
      <c r="E31" s="281">
        <f t="shared" si="0"/>
        <v>2644.349999999999</v>
      </c>
      <c r="F31" s="198"/>
      <c r="G31" s="174"/>
      <c r="H31" s="192"/>
      <c r="I31" s="194"/>
      <c r="J31" s="174"/>
      <c r="K31" s="45"/>
      <c r="L31" s="10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s="42" customFormat="1" ht="13.5" customHeight="1" x14ac:dyDescent="0.25">
      <c r="A32" s="175"/>
      <c r="B32" s="170"/>
      <c r="C32" s="210"/>
      <c r="D32" s="170"/>
      <c r="E32" s="281">
        <f t="shared" si="0"/>
        <v>2644.349999999999</v>
      </c>
      <c r="F32" s="198"/>
      <c r="G32" s="174"/>
      <c r="H32" s="192"/>
      <c r="I32" s="194"/>
      <c r="J32" s="174"/>
      <c r="K32" s="45"/>
      <c r="L32" s="10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s="42" customFormat="1" ht="13.5" customHeight="1" x14ac:dyDescent="0.25">
      <c r="A33" s="175"/>
      <c r="B33" s="170"/>
      <c r="C33" s="210"/>
      <c r="D33" s="170"/>
      <c r="E33" s="281">
        <f t="shared" si="0"/>
        <v>2644.349999999999</v>
      </c>
      <c r="F33" s="198"/>
      <c r="G33" s="174"/>
      <c r="H33" s="192"/>
      <c r="I33" s="194"/>
      <c r="J33" s="174"/>
      <c r="K33" s="45"/>
      <c r="L33" s="10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s="42" customFormat="1" ht="13.5" customHeight="1" x14ac:dyDescent="0.25">
      <c r="A34" s="175"/>
      <c r="B34" s="170"/>
      <c r="C34" s="210"/>
      <c r="D34" s="170"/>
      <c r="E34" s="281">
        <f t="shared" si="0"/>
        <v>2644.349999999999</v>
      </c>
      <c r="F34" s="198"/>
      <c r="G34" s="174"/>
      <c r="H34" s="192"/>
      <c r="I34" s="194"/>
      <c r="J34" s="174"/>
      <c r="K34" s="45"/>
      <c r="L34" s="10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s="42" customFormat="1" ht="13.5" customHeight="1" x14ac:dyDescent="0.25">
      <c r="A35" s="175"/>
      <c r="B35" s="170"/>
      <c r="C35" s="210"/>
      <c r="D35" s="170"/>
      <c r="E35" s="281">
        <f t="shared" si="0"/>
        <v>2644.349999999999</v>
      </c>
      <c r="F35" s="198"/>
      <c r="G35" s="174"/>
      <c r="H35" s="192"/>
      <c r="I35" s="194"/>
      <c r="J35" s="174"/>
      <c r="K35" s="45"/>
      <c r="L35" s="10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s="42" customFormat="1" ht="13.5" customHeight="1" x14ac:dyDescent="0.25">
      <c r="A36" s="175"/>
      <c r="B36" s="170"/>
      <c r="C36" s="210"/>
      <c r="D36" s="170"/>
      <c r="E36" s="281">
        <f t="shared" si="0"/>
        <v>2644.349999999999</v>
      </c>
      <c r="F36" s="198"/>
      <c r="G36" s="174"/>
      <c r="H36" s="192"/>
      <c r="I36" s="194"/>
      <c r="J36" s="174"/>
      <c r="K36" s="45"/>
      <c r="L36" s="10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s="42" customFormat="1" ht="13.5" customHeight="1" x14ac:dyDescent="0.25">
      <c r="A37" s="175"/>
      <c r="B37" s="170"/>
      <c r="C37" s="210"/>
      <c r="D37" s="170"/>
      <c r="E37" s="281">
        <f t="shared" si="0"/>
        <v>2644.349999999999</v>
      </c>
      <c r="F37" s="198"/>
      <c r="G37" s="174"/>
      <c r="H37" s="192"/>
      <c r="I37" s="194"/>
      <c r="J37" s="174"/>
      <c r="K37" s="45"/>
      <c r="L37" s="10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s="42" customFormat="1" ht="13.5" customHeight="1" x14ac:dyDescent="0.25">
      <c r="A38" s="175"/>
      <c r="B38" s="170"/>
      <c r="C38" s="210"/>
      <c r="D38" s="170"/>
      <c r="E38" s="281">
        <f t="shared" si="0"/>
        <v>2644.349999999999</v>
      </c>
      <c r="F38" s="198"/>
      <c r="G38" s="174"/>
      <c r="H38" s="192"/>
      <c r="I38" s="194"/>
      <c r="J38" s="174"/>
      <c r="K38" s="45"/>
      <c r="L38" s="10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s="42" customFormat="1" ht="13.5" customHeight="1" x14ac:dyDescent="0.25">
      <c r="A39" s="175"/>
      <c r="B39" s="170"/>
      <c r="C39" s="210"/>
      <c r="D39" s="170"/>
      <c r="E39" s="281">
        <f t="shared" si="0"/>
        <v>2644.349999999999</v>
      </c>
      <c r="F39" s="198"/>
      <c r="G39" s="174"/>
      <c r="H39" s="192"/>
      <c r="I39" s="194"/>
      <c r="J39" s="174"/>
      <c r="K39" s="45"/>
      <c r="L39" s="10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s="42" customFormat="1" ht="13.5" customHeight="1" x14ac:dyDescent="0.25">
      <c r="A40" s="175"/>
      <c r="B40" s="170"/>
      <c r="C40" s="210"/>
      <c r="D40" s="170"/>
      <c r="E40" s="281">
        <f t="shared" si="0"/>
        <v>2644.349999999999</v>
      </c>
      <c r="F40" s="198"/>
      <c r="G40" s="174"/>
      <c r="H40" s="192"/>
      <c r="I40" s="194"/>
      <c r="J40" s="174"/>
      <c r="K40" s="45"/>
      <c r="L40" s="10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s="42" customFormat="1" ht="13.5" customHeight="1" x14ac:dyDescent="0.25">
      <c r="A41" s="175"/>
      <c r="B41" s="170"/>
      <c r="C41" s="210"/>
      <c r="D41" s="170"/>
      <c r="E41" s="281">
        <f t="shared" si="0"/>
        <v>2644.349999999999</v>
      </c>
      <c r="F41" s="198"/>
      <c r="G41" s="174"/>
      <c r="H41" s="192"/>
      <c r="I41" s="194"/>
      <c r="J41" s="174"/>
      <c r="K41" s="45"/>
      <c r="L41" s="10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s="42" customFormat="1" ht="13.5" customHeight="1" x14ac:dyDescent="0.25">
      <c r="A42" s="175"/>
      <c r="B42" s="170"/>
      <c r="C42" s="170"/>
      <c r="D42" s="210"/>
      <c r="E42" s="281">
        <f t="shared" si="0"/>
        <v>2644.349999999999</v>
      </c>
      <c r="F42" s="284"/>
      <c r="G42" s="174"/>
      <c r="H42" s="192"/>
      <c r="I42" s="194"/>
      <c r="J42" s="174"/>
      <c r="K42" s="45"/>
      <c r="L42" s="10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s="42" customFormat="1" ht="13.5" customHeight="1" x14ac:dyDescent="0.25">
      <c r="A43" s="175"/>
      <c r="B43" s="170"/>
      <c r="C43" s="210"/>
      <c r="D43" s="170"/>
      <c r="E43" s="281">
        <f t="shared" si="0"/>
        <v>2644.349999999999</v>
      </c>
      <c r="F43" s="198"/>
      <c r="G43" s="174"/>
      <c r="H43" s="192"/>
      <c r="I43" s="194"/>
      <c r="J43" s="174"/>
      <c r="K43" s="45"/>
      <c r="L43" s="10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s="42" customFormat="1" ht="13.5" customHeight="1" x14ac:dyDescent="0.25">
      <c r="A44" s="175"/>
      <c r="B44" s="170"/>
      <c r="C44" s="210"/>
      <c r="D44" s="170"/>
      <c r="E44" s="281">
        <f t="shared" si="0"/>
        <v>2644.349999999999</v>
      </c>
      <c r="F44" s="198"/>
      <c r="G44" s="174"/>
      <c r="H44" s="192"/>
      <c r="I44" s="194"/>
      <c r="J44" s="174"/>
      <c r="K44" s="45"/>
      <c r="L44" s="10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s="42" customFormat="1" ht="13.5" customHeight="1" x14ac:dyDescent="0.25">
      <c r="A45" s="175"/>
      <c r="B45" s="170"/>
      <c r="C45" s="210"/>
      <c r="D45" s="170"/>
      <c r="E45" s="281">
        <f t="shared" si="0"/>
        <v>2644.349999999999</v>
      </c>
      <c r="F45" s="198"/>
      <c r="G45" s="174"/>
      <c r="H45" s="192"/>
      <c r="I45" s="194"/>
      <c r="J45" s="174"/>
      <c r="K45" s="45"/>
      <c r="L45" s="10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s="42" customFormat="1" ht="13.5" customHeight="1" x14ac:dyDescent="0.25">
      <c r="A46" s="175"/>
      <c r="B46" s="170"/>
      <c r="C46" s="170"/>
      <c r="D46" s="210"/>
      <c r="E46" s="281">
        <f t="shared" si="0"/>
        <v>2644.349999999999</v>
      </c>
      <c r="F46" s="286"/>
      <c r="G46" s="174"/>
      <c r="H46" s="192"/>
      <c r="I46" s="194"/>
      <c r="J46" s="174"/>
      <c r="K46" s="45"/>
      <c r="L46" s="10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s="42" customFormat="1" ht="13.5" customHeight="1" x14ac:dyDescent="0.25">
      <c r="A47" s="175"/>
      <c r="B47" s="170"/>
      <c r="C47" s="170"/>
      <c r="D47" s="210"/>
      <c r="E47" s="281">
        <f t="shared" si="0"/>
        <v>2644.349999999999</v>
      </c>
      <c r="F47" s="198"/>
      <c r="G47" s="174"/>
      <c r="H47" s="192"/>
      <c r="I47" s="194"/>
      <c r="J47" s="174"/>
      <c r="K47" s="45"/>
      <c r="L47" s="10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s="102" customFormat="1" ht="12.75" customHeight="1" x14ac:dyDescent="0.25">
      <c r="A48" s="175"/>
      <c r="B48" s="170"/>
      <c r="C48" s="210"/>
      <c r="D48" s="170"/>
      <c r="E48" s="281">
        <f t="shared" si="0"/>
        <v>2644.349999999999</v>
      </c>
      <c r="F48" s="284"/>
      <c r="G48" s="288"/>
      <c r="H48" s="288"/>
      <c r="I48" s="288"/>
      <c r="J48" s="288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spans="1:26" s="102" customFormat="1" ht="12.75" customHeight="1" x14ac:dyDescent="0.25">
      <c r="A49" s="175"/>
      <c r="B49" s="170"/>
      <c r="C49" s="210"/>
      <c r="D49" s="170"/>
      <c r="E49" s="281">
        <f t="shared" si="0"/>
        <v>2644.349999999999</v>
      </c>
      <c r="F49" s="288"/>
      <c r="G49" s="288"/>
      <c r="H49" s="288"/>
      <c r="I49" s="288"/>
      <c r="J49" s="288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spans="1:26" s="102" customFormat="1" ht="12.75" customHeight="1" x14ac:dyDescent="0.25">
      <c r="A50" s="175"/>
      <c r="B50" s="170"/>
      <c r="C50" s="170"/>
      <c r="D50" s="210"/>
      <c r="E50" s="281">
        <f t="shared" si="0"/>
        <v>2644.349999999999</v>
      </c>
      <c r="F50" s="288"/>
      <c r="G50" s="288"/>
      <c r="H50" s="288"/>
      <c r="I50" s="288"/>
      <c r="J50" s="288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spans="1:26" s="102" customFormat="1" ht="12.75" customHeight="1" x14ac:dyDescent="0.25">
      <c r="A51" s="175"/>
      <c r="B51" s="170"/>
      <c r="C51" s="210"/>
      <c r="D51" s="170"/>
      <c r="E51" s="281">
        <f t="shared" si="0"/>
        <v>2644.349999999999</v>
      </c>
      <c r="F51" s="288"/>
      <c r="G51" s="288"/>
      <c r="H51" s="288"/>
      <c r="I51" s="288"/>
      <c r="J51" s="288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spans="1:26" s="102" customFormat="1" ht="12.75" customHeight="1" x14ac:dyDescent="0.25">
      <c r="A52" s="175"/>
      <c r="B52" s="170"/>
      <c r="C52" s="210"/>
      <c r="D52" s="170"/>
      <c r="E52" s="281">
        <f t="shared" si="0"/>
        <v>2644.349999999999</v>
      </c>
      <c r="F52" s="288"/>
      <c r="G52" s="288"/>
      <c r="H52" s="288"/>
      <c r="I52" s="288"/>
      <c r="J52" s="288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s="102" customFormat="1" ht="12.75" customHeight="1" x14ac:dyDescent="0.25">
      <c r="A53" s="175"/>
      <c r="B53" s="170"/>
      <c r="C53" s="210"/>
      <c r="D53" s="170"/>
      <c r="E53" s="281">
        <f t="shared" si="0"/>
        <v>2644.349999999999</v>
      </c>
      <c r="F53" s="288"/>
      <c r="G53" s="288"/>
      <c r="H53" s="288"/>
      <c r="I53" s="288"/>
      <c r="J53" s="288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spans="1:26" s="102" customFormat="1" ht="12.75" customHeight="1" x14ac:dyDescent="0.25">
      <c r="A54" s="175"/>
      <c r="B54" s="170"/>
      <c r="C54" s="210"/>
      <c r="D54" s="170"/>
      <c r="E54" s="281">
        <f t="shared" si="0"/>
        <v>2644.349999999999</v>
      </c>
      <c r="F54" s="288"/>
      <c r="G54" s="289"/>
      <c r="H54" s="290"/>
      <c r="I54" s="288"/>
      <c r="J54" s="288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spans="1:26" s="102" customFormat="1" ht="12.75" customHeight="1" x14ac:dyDescent="0.25">
      <c r="A55" s="175"/>
      <c r="B55" s="170"/>
      <c r="C55" s="210"/>
      <c r="D55" s="170"/>
      <c r="E55" s="281">
        <f t="shared" si="0"/>
        <v>2644.349999999999</v>
      </c>
      <c r="F55" s="290"/>
      <c r="G55" s="288"/>
      <c r="H55" s="288"/>
      <c r="I55" s="288"/>
      <c r="J55" s="288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spans="1:26" s="102" customFormat="1" ht="12.75" customHeight="1" x14ac:dyDescent="0.25">
      <c r="A56" s="175"/>
      <c r="B56" s="170"/>
      <c r="C56" s="210"/>
      <c r="D56" s="170"/>
      <c r="E56" s="281">
        <f t="shared" si="0"/>
        <v>2644.349999999999</v>
      </c>
      <c r="F56" s="288"/>
      <c r="G56" s="291"/>
      <c r="H56" s="288"/>
      <c r="I56" s="288"/>
      <c r="J56" s="288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spans="1:26" s="102" customFormat="1" ht="12.75" customHeight="1" x14ac:dyDescent="0.25">
      <c r="A57" s="175"/>
      <c r="B57" s="170"/>
      <c r="C57" s="170"/>
      <c r="D57" s="210"/>
      <c r="E57" s="281">
        <f t="shared" si="0"/>
        <v>2644.349999999999</v>
      </c>
      <c r="F57" s="288"/>
      <c r="G57" s="289"/>
      <c r="H57" s="288"/>
      <c r="I57" s="288"/>
      <c r="J57" s="288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spans="1:26" s="102" customFormat="1" ht="12.75" customHeight="1" x14ac:dyDescent="0.25">
      <c r="A58" s="175"/>
      <c r="B58" s="170"/>
      <c r="C58" s="210"/>
      <c r="D58" s="170"/>
      <c r="E58" s="281">
        <f t="shared" si="0"/>
        <v>2644.349999999999</v>
      </c>
      <c r="F58" s="284"/>
      <c r="G58" s="288"/>
      <c r="H58" s="288"/>
      <c r="I58" s="288"/>
      <c r="J58" s="288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spans="1:26" s="102" customFormat="1" ht="12.75" customHeight="1" x14ac:dyDescent="0.25">
      <c r="A59" s="51"/>
      <c r="B59" s="292"/>
      <c r="C59" s="31"/>
      <c r="D59" s="292"/>
      <c r="E59" s="281">
        <f t="shared" si="0"/>
        <v>2644.349999999999</v>
      </c>
      <c r="F59" s="288"/>
      <c r="G59" s="288"/>
      <c r="H59" s="288"/>
      <c r="I59" s="288"/>
      <c r="J59" s="288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spans="1:26" s="102" customFormat="1" ht="12.75" customHeight="1" x14ac:dyDescent="0.25">
      <c r="A60" s="51"/>
      <c r="B60" s="292"/>
      <c r="C60" s="31"/>
      <c r="D60" s="292"/>
      <c r="E60" s="281">
        <f t="shared" si="0"/>
        <v>2644.349999999999</v>
      </c>
      <c r="F60" s="288"/>
      <c r="G60" s="288"/>
      <c r="H60" s="288"/>
      <c r="I60" s="288"/>
      <c r="J60" s="288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spans="1:26" s="102" customFormat="1" ht="12.75" customHeight="1" x14ac:dyDescent="0.25">
      <c r="A61" s="51"/>
      <c r="B61" s="292"/>
      <c r="C61" s="31"/>
      <c r="D61" s="292"/>
      <c r="E61" s="281">
        <f t="shared" si="0"/>
        <v>2644.349999999999</v>
      </c>
      <c r="F61" s="288"/>
      <c r="G61" s="288"/>
      <c r="H61" s="288"/>
      <c r="I61" s="288"/>
      <c r="J61" s="288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s="102" customFormat="1" ht="12.75" customHeight="1" x14ac:dyDescent="0.25">
      <c r="A62" s="51"/>
      <c r="B62" s="292"/>
      <c r="C62" s="292"/>
      <c r="D62" s="31"/>
      <c r="E62" s="281">
        <f t="shared" si="0"/>
        <v>2644.349999999999</v>
      </c>
      <c r="F62" s="204"/>
      <c r="G62" s="181"/>
      <c r="H62" s="205"/>
      <c r="I62" s="181"/>
      <c r="J62" s="206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spans="1:26" s="102" customFormat="1" ht="12.75" customHeight="1" x14ac:dyDescent="0.25">
      <c r="A63" s="187"/>
      <c r="B63" s="187"/>
      <c r="C63" s="187"/>
      <c r="D63" s="187"/>
      <c r="E63" s="281">
        <f t="shared" si="0"/>
        <v>2644.349999999999</v>
      </c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spans="1:26" s="102" customFormat="1" ht="12.75" customHeight="1" x14ac:dyDescent="0.25">
      <c r="A64" s="101"/>
      <c r="C64" s="103"/>
      <c r="E64" s="281">
        <f t="shared" si="0"/>
        <v>2644.349999999999</v>
      </c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spans="1:26" s="102" customFormat="1" ht="12.75" customHeight="1" x14ac:dyDescent="0.25">
      <c r="A65" s="101"/>
      <c r="D65" s="103"/>
      <c r="E65" s="281">
        <f t="shared" si="0"/>
        <v>2644.349999999999</v>
      </c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spans="1:26" s="102" customFormat="1" ht="12.75" customHeight="1" x14ac:dyDescent="0.25">
      <c r="A66" s="101"/>
      <c r="D66" s="103"/>
      <c r="E66" s="281">
        <f t="shared" si="0"/>
        <v>2644.349999999999</v>
      </c>
      <c r="F66" s="121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spans="1:26" s="102" customFormat="1" ht="12.75" customHeight="1" x14ac:dyDescent="0.25">
      <c r="A67" s="101"/>
      <c r="C67" s="103"/>
      <c r="E67" s="281">
        <f t="shared" si="0"/>
        <v>2644.349999999999</v>
      </c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spans="1:26" s="102" customFormat="1" ht="12.75" customHeight="1" x14ac:dyDescent="0.25">
      <c r="A68" s="101"/>
      <c r="C68" s="103"/>
      <c r="E68" s="281">
        <f t="shared" si="0"/>
        <v>2644.349999999999</v>
      </c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spans="1:26" s="102" customFormat="1" ht="12.75" customHeight="1" x14ac:dyDescent="0.25">
      <c r="A69" s="101"/>
      <c r="D69" s="103"/>
      <c r="E69" s="281">
        <f t="shared" si="0"/>
        <v>2644.349999999999</v>
      </c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spans="1:26" s="102" customFormat="1" ht="12.75" customHeight="1" x14ac:dyDescent="0.25">
      <c r="A70" s="101"/>
      <c r="C70" s="103"/>
      <c r="E70" s="281">
        <f t="shared" si="0"/>
        <v>2644.349999999999</v>
      </c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spans="1:26" s="102" customFormat="1" ht="12.75" customHeight="1" x14ac:dyDescent="0.25">
      <c r="A71" s="101"/>
      <c r="D71" s="103"/>
      <c r="E71" s="281">
        <f t="shared" si="0"/>
        <v>2644.349999999999</v>
      </c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spans="1:26" s="102" customFormat="1" ht="12.75" customHeight="1" x14ac:dyDescent="0.25">
      <c r="A72" s="101"/>
      <c r="C72" s="103"/>
      <c r="E72" s="281">
        <f t="shared" ref="E72:E91" si="1">E71-C72+D72</f>
        <v>2644.349999999999</v>
      </c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spans="1:26" s="102" customFormat="1" ht="12.75" customHeight="1" x14ac:dyDescent="0.25">
      <c r="A73" s="101"/>
      <c r="D73" s="103"/>
      <c r="E73" s="281">
        <f t="shared" si="1"/>
        <v>2644.349999999999</v>
      </c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spans="1:26" s="102" customFormat="1" ht="12.75" customHeight="1" x14ac:dyDescent="0.25">
      <c r="A74" s="101"/>
      <c r="C74" s="103"/>
      <c r="E74" s="281">
        <f t="shared" si="1"/>
        <v>2644.349999999999</v>
      </c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spans="1:26" s="102" customFormat="1" ht="12.75" customHeight="1" x14ac:dyDescent="0.25">
      <c r="A75" s="101"/>
      <c r="C75" s="103"/>
      <c r="E75" s="281">
        <f t="shared" si="1"/>
        <v>2644.349999999999</v>
      </c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spans="1:26" s="102" customFormat="1" ht="12.75" customHeight="1" x14ac:dyDescent="0.25">
      <c r="A76" s="101"/>
      <c r="C76" s="103"/>
      <c r="E76" s="281">
        <f t="shared" si="1"/>
        <v>2644.349999999999</v>
      </c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spans="1:26" s="102" customFormat="1" ht="12.75" customHeight="1" x14ac:dyDescent="0.25">
      <c r="A77" s="101"/>
      <c r="D77" s="95"/>
      <c r="E77" s="281">
        <f t="shared" si="1"/>
        <v>2644.349999999999</v>
      </c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spans="1:26" s="102" customFormat="1" ht="12.75" customHeight="1" x14ac:dyDescent="0.25">
      <c r="A78" s="101"/>
      <c r="C78" s="103"/>
      <c r="E78" s="281">
        <f t="shared" si="1"/>
        <v>2644.349999999999</v>
      </c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spans="1:26" s="102" customFormat="1" ht="12.75" customHeight="1" x14ac:dyDescent="0.25">
      <c r="A79" s="101"/>
      <c r="C79" s="103"/>
      <c r="E79" s="281">
        <f t="shared" si="1"/>
        <v>2644.349999999999</v>
      </c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spans="1:26" s="102" customFormat="1" ht="12.75" customHeight="1" x14ac:dyDescent="0.25">
      <c r="A80" s="101"/>
      <c r="C80" s="103"/>
      <c r="E80" s="281">
        <f t="shared" si="1"/>
        <v>2644.349999999999</v>
      </c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spans="1:26" s="102" customFormat="1" ht="12.75" customHeight="1" x14ac:dyDescent="0.25">
      <c r="A81" s="101"/>
      <c r="C81" s="103"/>
      <c r="E81" s="281">
        <f t="shared" si="1"/>
        <v>2644.349999999999</v>
      </c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spans="1:26" s="102" customFormat="1" ht="12.75" customHeight="1" x14ac:dyDescent="0.25">
      <c r="A82" s="101"/>
      <c r="C82" s="103"/>
      <c r="E82" s="281">
        <f t="shared" si="1"/>
        <v>2644.349999999999</v>
      </c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spans="1:26" s="102" customFormat="1" ht="12.75" customHeight="1" x14ac:dyDescent="0.25">
      <c r="A83" s="101"/>
      <c r="D83" s="103"/>
      <c r="E83" s="281">
        <f t="shared" si="1"/>
        <v>2644.349999999999</v>
      </c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spans="1:26" s="102" customFormat="1" ht="12.75" customHeight="1" x14ac:dyDescent="0.25">
      <c r="A84" s="101"/>
      <c r="D84" s="103"/>
      <c r="E84" s="281">
        <f t="shared" si="1"/>
        <v>2644.349999999999</v>
      </c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spans="1:26" s="102" customFormat="1" ht="12.75" customHeight="1" x14ac:dyDescent="0.25">
      <c r="A85" s="101"/>
      <c r="D85" s="103"/>
      <c r="E85" s="281">
        <f t="shared" si="1"/>
        <v>2644.349999999999</v>
      </c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spans="1:26" s="102" customFormat="1" ht="12.75" customHeight="1" x14ac:dyDescent="0.25">
      <c r="A86" s="101"/>
      <c r="C86" s="103"/>
      <c r="E86" s="281">
        <f t="shared" si="1"/>
        <v>2644.349999999999</v>
      </c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spans="1:26" s="102" customFormat="1" ht="12.75" customHeight="1" x14ac:dyDescent="0.25">
      <c r="A87" s="101"/>
      <c r="C87" s="103"/>
      <c r="E87" s="281">
        <f t="shared" si="1"/>
        <v>2644.349999999999</v>
      </c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spans="1:26" s="102" customFormat="1" ht="12.75" customHeight="1" x14ac:dyDescent="0.25">
      <c r="A88" s="101"/>
      <c r="C88" s="103"/>
      <c r="E88" s="281">
        <f t="shared" si="1"/>
        <v>2644.349999999999</v>
      </c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spans="1:26" s="102" customFormat="1" ht="12.75" customHeight="1" x14ac:dyDescent="0.25">
      <c r="A89" s="101"/>
      <c r="D89" s="103"/>
      <c r="E89" s="281">
        <f t="shared" si="1"/>
        <v>2644.349999999999</v>
      </c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spans="1:26" s="102" customFormat="1" ht="15" customHeight="1" x14ac:dyDescent="0.25">
      <c r="A90" s="101"/>
      <c r="C90" s="103"/>
      <c r="E90" s="281">
        <f t="shared" si="1"/>
        <v>2644.349999999999</v>
      </c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spans="1:26" s="102" customFormat="1" ht="12.75" customHeight="1" x14ac:dyDescent="0.25">
      <c r="A91" s="101"/>
      <c r="C91" s="103"/>
      <c r="E91" s="281">
        <f t="shared" si="1"/>
        <v>2644.349999999999</v>
      </c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spans="1:26" s="102" customFormat="1" ht="12.75" customHeight="1" x14ac:dyDescent="0.25">
      <c r="A92" s="101"/>
      <c r="C92" s="103"/>
      <c r="E92" s="141"/>
      <c r="F92" s="72"/>
      <c r="G92" s="36"/>
      <c r="H92" s="69"/>
      <c r="I92" s="36"/>
      <c r="J92" s="79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spans="1:26" ht="12.75" customHeight="1" x14ac:dyDescent="0.25">
      <c r="A93" s="51"/>
      <c r="C93" s="31"/>
      <c r="E93" s="141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thickBot="1" x14ac:dyDescent="0.3">
      <c r="A94" s="51"/>
      <c r="B94" s="2" t="s">
        <v>12</v>
      </c>
      <c r="C94" s="12">
        <f>SUM(C6:C93)</f>
        <v>18919.8</v>
      </c>
      <c r="D94" s="12">
        <f>SUM(D6:D93)</f>
        <v>18500</v>
      </c>
      <c r="E94" s="141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thickTop="1" x14ac:dyDescent="0.25">
      <c r="A95" s="32"/>
      <c r="B95" s="2"/>
      <c r="C95" s="6"/>
      <c r="D95" s="6"/>
      <c r="E95" s="141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thickBot="1" x14ac:dyDescent="0.3">
      <c r="A96" s="32"/>
      <c r="B96" s="2" t="s">
        <v>13</v>
      </c>
      <c r="C96" s="12">
        <v>118788.2</v>
      </c>
      <c r="D96" s="12">
        <v>118029.14</v>
      </c>
      <c r="E96" s="141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thickTop="1" x14ac:dyDescent="0.25">
      <c r="A97" s="11"/>
      <c r="B97" s="2"/>
      <c r="C97" s="6"/>
      <c r="D97" s="6"/>
      <c r="E97" s="141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thickBot="1" x14ac:dyDescent="0.3">
      <c r="A98" s="11"/>
      <c r="B98" s="2" t="s">
        <v>14</v>
      </c>
      <c r="C98" s="50">
        <f>+C94-C96</f>
        <v>-99868.4</v>
      </c>
      <c r="D98" s="50">
        <f>+D94-D96</f>
        <v>-99529.14</v>
      </c>
      <c r="E98" s="141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thickTop="1" x14ac:dyDescent="0.25">
      <c r="A99" s="11"/>
      <c r="E99" s="141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E100" s="141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E101" s="141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E102" s="14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E103" s="14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E104" s="14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E105" s="14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E106" s="14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E107" s="14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E108" s="14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E109" s="14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E110" s="14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E111" s="14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E112" s="14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6"/>
      <c r="D113" s="6"/>
      <c r="E113" s="14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6"/>
      <c r="D114" s="6"/>
      <c r="E114" s="14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E115" s="14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E116" s="14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E117" s="14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E118" s="14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E119" s="14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E120" s="14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6"/>
      <c r="D121" s="6"/>
      <c r="E121" s="14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6"/>
      <c r="D122" s="6"/>
      <c r="E122" s="14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6"/>
      <c r="D123" s="6"/>
      <c r="E123" s="14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6"/>
      <c r="D124" s="6"/>
      <c r="E124" s="14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6"/>
      <c r="D125" s="6"/>
      <c r="E125" s="14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6"/>
      <c r="D126" s="6"/>
      <c r="E126" s="14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6"/>
      <c r="D127" s="6"/>
      <c r="E127" s="14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6"/>
      <c r="D128" s="6"/>
      <c r="E128" s="14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6"/>
      <c r="D129" s="6"/>
      <c r="E129" s="14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6"/>
      <c r="D130" s="6"/>
      <c r="E130" s="14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6"/>
      <c r="D131" s="6"/>
      <c r="E131" s="14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6"/>
      <c r="D132" s="6"/>
      <c r="E132" s="14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6"/>
      <c r="D133" s="6"/>
      <c r="E133" s="14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6"/>
      <c r="D134" s="6"/>
      <c r="E134" s="14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6"/>
      <c r="D135" s="6"/>
      <c r="E135" s="14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6"/>
      <c r="D136" s="6"/>
      <c r="E136" s="14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6"/>
      <c r="D137" s="6"/>
      <c r="E137" s="14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6"/>
      <c r="D138" s="6"/>
      <c r="E138" s="14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6"/>
      <c r="D139" s="6"/>
      <c r="E139" s="14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6"/>
      <c r="D140" s="6"/>
      <c r="E140" s="14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6"/>
      <c r="D141" s="6"/>
      <c r="E141" s="14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6"/>
      <c r="D142" s="6"/>
      <c r="E142" s="14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6"/>
      <c r="D143" s="6"/>
      <c r="E143" s="14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6"/>
      <c r="D144" s="6"/>
      <c r="E144" s="14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6"/>
      <c r="D145" s="6"/>
      <c r="E145" s="14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6"/>
      <c r="D146" s="6"/>
      <c r="E146" s="14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6"/>
      <c r="D147" s="6"/>
      <c r="E147" s="14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6"/>
      <c r="D148" s="6"/>
      <c r="E148" s="14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6"/>
      <c r="D149" s="6"/>
      <c r="E149" s="14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6"/>
      <c r="D150" s="6"/>
      <c r="E150" s="14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6"/>
      <c r="D151" s="6"/>
      <c r="E151" s="14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6"/>
      <c r="D152" s="6"/>
      <c r="E152" s="14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6"/>
      <c r="D153" s="6"/>
      <c r="E153" s="14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6"/>
      <c r="D154" s="6"/>
      <c r="E154" s="14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6"/>
      <c r="D155" s="6"/>
      <c r="E155" s="14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6"/>
      <c r="D156" s="6"/>
      <c r="E156" s="14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6"/>
      <c r="D157" s="6"/>
      <c r="E157" s="14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6"/>
      <c r="D158" s="6"/>
      <c r="E158" s="14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6"/>
      <c r="D159" s="6"/>
      <c r="E159" s="14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6"/>
      <c r="D160" s="6"/>
      <c r="E160" s="14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6"/>
      <c r="D161" s="6"/>
      <c r="E161" s="14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6"/>
      <c r="D162" s="6"/>
      <c r="E162" s="14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6"/>
      <c r="D163" s="6"/>
      <c r="E163" s="14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6"/>
      <c r="D164" s="6"/>
      <c r="E164" s="14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6"/>
      <c r="D165" s="6"/>
      <c r="E165" s="14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6"/>
      <c r="D166" s="6"/>
      <c r="E166" s="14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6"/>
      <c r="D167" s="6"/>
      <c r="E167" s="14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6"/>
      <c r="D168" s="6"/>
      <c r="E168" s="14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6"/>
      <c r="D169" s="6"/>
      <c r="E169" s="14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6"/>
      <c r="D170" s="6"/>
      <c r="E170" s="14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6"/>
      <c r="D171" s="6"/>
      <c r="E171" s="14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6"/>
      <c r="D172" s="6"/>
      <c r="E172" s="14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6"/>
      <c r="D173" s="6"/>
      <c r="E173" s="14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6"/>
      <c r="D174" s="6"/>
      <c r="E174" s="14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6"/>
      <c r="D175" s="6"/>
      <c r="E175" s="14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6"/>
      <c r="D176" s="6"/>
      <c r="E176" s="14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6"/>
      <c r="D177" s="6"/>
      <c r="E177" s="14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6"/>
      <c r="D178" s="6"/>
      <c r="E178" s="14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6"/>
      <c r="D179" s="6"/>
      <c r="E179" s="14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6"/>
      <c r="D180" s="6"/>
      <c r="E180" s="14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6"/>
      <c r="D181" s="6"/>
      <c r="E181" s="14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6"/>
      <c r="D182" s="6"/>
      <c r="E182" s="14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6"/>
      <c r="D183" s="6"/>
      <c r="E183" s="14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6"/>
      <c r="D184" s="6"/>
      <c r="E184" s="14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6"/>
      <c r="D185" s="6"/>
      <c r="E185" s="14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6"/>
      <c r="D186" s="6"/>
      <c r="E186" s="14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6"/>
      <c r="D187" s="6"/>
      <c r="E187" s="14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6"/>
      <c r="D188" s="6"/>
      <c r="E188" s="14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6"/>
      <c r="D189" s="6"/>
      <c r="E189" s="14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6"/>
      <c r="D190" s="6"/>
      <c r="E190" s="14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6"/>
      <c r="D191" s="6"/>
      <c r="E191" s="14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6"/>
      <c r="D192" s="6"/>
      <c r="E192" s="14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6"/>
      <c r="D193" s="6"/>
      <c r="E193" s="14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6"/>
      <c r="D194" s="6"/>
      <c r="E194" s="14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6"/>
      <c r="D195" s="6"/>
      <c r="E195" s="14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6"/>
      <c r="D196" s="6"/>
      <c r="E196" s="14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6"/>
      <c r="D197" s="6"/>
      <c r="E197" s="14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6"/>
      <c r="D198" s="6"/>
      <c r="E198" s="14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6"/>
      <c r="D199" s="6"/>
      <c r="E199" s="14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6"/>
      <c r="D200" s="6"/>
      <c r="E200" s="14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6"/>
      <c r="D201" s="6"/>
      <c r="E201" s="14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6"/>
      <c r="D202" s="6"/>
      <c r="E202" s="14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6"/>
      <c r="D203" s="6"/>
      <c r="E203" s="14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6"/>
      <c r="D204" s="6"/>
      <c r="E204" s="14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6"/>
      <c r="D205" s="6"/>
      <c r="E205" s="14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6"/>
      <c r="D206" s="6"/>
      <c r="E206" s="14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6"/>
      <c r="D207" s="6"/>
      <c r="E207" s="14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6"/>
      <c r="D208" s="6"/>
      <c r="E208" s="14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6"/>
      <c r="D209" s="6"/>
      <c r="E209" s="14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6"/>
      <c r="D210" s="6"/>
      <c r="E210" s="14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6"/>
      <c r="D211" s="6"/>
      <c r="E211" s="14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6"/>
      <c r="D212" s="6"/>
      <c r="E212" s="14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6"/>
      <c r="D213" s="6"/>
      <c r="E213" s="14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6"/>
      <c r="D214" s="6"/>
      <c r="E214" s="14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6"/>
      <c r="D215" s="6"/>
      <c r="E215" s="14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6"/>
      <c r="D216" s="6"/>
      <c r="E216" s="14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6"/>
      <c r="D217" s="6"/>
      <c r="E217" s="14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6"/>
      <c r="D218" s="6"/>
      <c r="E218" s="14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6"/>
      <c r="D219" s="6"/>
      <c r="E219" s="14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6"/>
      <c r="D220" s="6"/>
      <c r="E220" s="14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6"/>
      <c r="D221" s="6"/>
      <c r="E221" s="14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6"/>
      <c r="D222" s="6"/>
      <c r="E222" s="14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6"/>
      <c r="D223" s="6"/>
      <c r="E223" s="14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6"/>
      <c r="D224" s="6"/>
      <c r="E224" s="14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6"/>
      <c r="D225" s="6"/>
      <c r="E225" s="14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6"/>
      <c r="D226" s="6"/>
      <c r="E226" s="14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6"/>
      <c r="D227" s="6"/>
      <c r="E227" s="14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6"/>
      <c r="D228" s="6"/>
      <c r="E228" s="14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6"/>
      <c r="D229" s="6"/>
      <c r="E229" s="14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6"/>
      <c r="D230" s="6"/>
      <c r="E230" s="14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6"/>
      <c r="D231" s="6"/>
      <c r="E231" s="14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6"/>
      <c r="D232" s="6"/>
      <c r="E232" s="14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6"/>
      <c r="D233" s="6"/>
      <c r="E233" s="14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6"/>
      <c r="D234" s="6"/>
      <c r="E234" s="14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6"/>
      <c r="D235" s="6"/>
      <c r="E235" s="14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6"/>
      <c r="D236" s="6"/>
      <c r="E236" s="14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6"/>
      <c r="D237" s="6"/>
      <c r="E237" s="14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6"/>
      <c r="D238" s="6"/>
      <c r="E238" s="14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6"/>
      <c r="D239" s="6"/>
      <c r="E239" s="14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6"/>
      <c r="D240" s="6"/>
      <c r="E240" s="14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6"/>
      <c r="D241" s="6"/>
      <c r="E241" s="14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6"/>
      <c r="D242" s="6"/>
      <c r="E242" s="14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6"/>
      <c r="D243" s="6"/>
      <c r="E243" s="14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6"/>
      <c r="D244" s="6"/>
      <c r="E244" s="14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6"/>
      <c r="D245" s="6"/>
      <c r="E245" s="14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6"/>
      <c r="D246" s="6"/>
      <c r="E246" s="14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6"/>
      <c r="D247" s="6"/>
      <c r="E247" s="14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6"/>
      <c r="D248" s="6"/>
      <c r="E248" s="14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6"/>
      <c r="D249" s="6"/>
      <c r="E249" s="14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6"/>
      <c r="D250" s="6"/>
      <c r="E250" s="14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6"/>
      <c r="D251" s="6"/>
      <c r="E251" s="14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6"/>
      <c r="D252" s="6"/>
      <c r="E252" s="14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6"/>
      <c r="D253" s="6"/>
      <c r="E253" s="14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6"/>
      <c r="D254" s="6"/>
      <c r="E254" s="14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6"/>
      <c r="D255" s="6"/>
      <c r="E255" s="14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6"/>
      <c r="D256" s="6"/>
      <c r="E256" s="14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6"/>
      <c r="D257" s="6"/>
      <c r="E257" s="14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6"/>
      <c r="D258" s="6"/>
      <c r="E258" s="14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6"/>
      <c r="D259" s="6"/>
      <c r="E259" s="14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6"/>
      <c r="D260" s="6"/>
      <c r="E260" s="14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6"/>
      <c r="D261" s="6"/>
      <c r="E261" s="14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6"/>
      <c r="D262" s="6"/>
      <c r="E262" s="14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6"/>
      <c r="D263" s="6"/>
      <c r="E263" s="14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6"/>
      <c r="D264" s="6"/>
      <c r="E264" s="14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6"/>
      <c r="D265" s="6"/>
      <c r="E265" s="14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6"/>
      <c r="D266" s="6"/>
      <c r="E266" s="14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6"/>
      <c r="D267" s="6"/>
      <c r="E267" s="14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6"/>
      <c r="D268" s="6"/>
      <c r="E268" s="14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6"/>
      <c r="D269" s="6"/>
      <c r="E269" s="14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6"/>
      <c r="D270" s="6"/>
      <c r="E270" s="14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6"/>
      <c r="D271" s="6"/>
      <c r="E271" s="14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6"/>
      <c r="D272" s="6"/>
      <c r="E272" s="14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6"/>
      <c r="D273" s="6"/>
      <c r="E273" s="14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6"/>
      <c r="D274" s="6"/>
      <c r="E274" s="14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6"/>
      <c r="D275" s="6"/>
      <c r="E275" s="14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6"/>
      <c r="D276" s="6"/>
      <c r="E276" s="14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6"/>
      <c r="D277" s="6"/>
      <c r="E277" s="14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6"/>
      <c r="D278" s="6"/>
      <c r="E278" s="14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6"/>
      <c r="D279" s="6"/>
      <c r="E279" s="14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6"/>
      <c r="D280" s="6"/>
      <c r="E280" s="14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6"/>
      <c r="D281" s="6"/>
      <c r="E281" s="14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6"/>
      <c r="D282" s="6"/>
      <c r="E282" s="14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6"/>
      <c r="D283" s="6"/>
      <c r="E283" s="14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6"/>
      <c r="D284" s="6"/>
      <c r="E284" s="14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6"/>
      <c r="D285" s="6"/>
      <c r="E285" s="14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6"/>
      <c r="D286" s="6"/>
      <c r="E286" s="14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6"/>
      <c r="D287" s="6"/>
      <c r="E287" s="14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6"/>
      <c r="D288" s="6"/>
      <c r="E288" s="14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6"/>
      <c r="D289" s="6"/>
      <c r="E289" s="14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6"/>
      <c r="D290" s="6"/>
      <c r="E290" s="14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6"/>
      <c r="D291" s="6"/>
      <c r="E291" s="14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6"/>
      <c r="D292" s="6"/>
      <c r="E292" s="14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6"/>
      <c r="D293" s="6"/>
      <c r="E293" s="14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6"/>
      <c r="D294" s="6"/>
      <c r="E294" s="14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6"/>
      <c r="D295" s="6"/>
      <c r="E295" s="14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6"/>
      <c r="D296" s="6"/>
      <c r="E296" s="14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6"/>
      <c r="D297" s="6"/>
      <c r="E297" s="14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6"/>
      <c r="D298" s="6"/>
      <c r="E298" s="14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6"/>
      <c r="D299" s="6"/>
      <c r="E299" s="14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6"/>
      <c r="D300" s="6"/>
      <c r="E300" s="14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6"/>
      <c r="D301" s="6"/>
      <c r="E301" s="14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6"/>
      <c r="D302" s="6"/>
      <c r="E302" s="14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6"/>
      <c r="D303" s="6"/>
      <c r="E303" s="14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6"/>
      <c r="D304" s="6"/>
      <c r="E304" s="14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6"/>
      <c r="D305" s="6"/>
      <c r="E305" s="14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6"/>
      <c r="D306" s="6"/>
      <c r="E306" s="14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6"/>
      <c r="D307" s="6"/>
      <c r="E307" s="14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6"/>
      <c r="D308" s="6"/>
      <c r="E308" s="14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6"/>
      <c r="D309" s="6"/>
      <c r="E309" s="14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6"/>
      <c r="D310" s="6"/>
      <c r="E310" s="14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6"/>
      <c r="D311" s="6"/>
      <c r="E311" s="14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6"/>
      <c r="D312" s="6"/>
      <c r="E312" s="14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6"/>
      <c r="D313" s="6"/>
      <c r="E313" s="14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6"/>
      <c r="D314" s="6"/>
      <c r="E314" s="14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6"/>
      <c r="D315" s="6"/>
      <c r="E315" s="14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6"/>
      <c r="D316" s="6"/>
      <c r="E316" s="14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6"/>
      <c r="D317" s="6"/>
      <c r="E317" s="14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6"/>
      <c r="D318" s="6"/>
      <c r="E318" s="14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6"/>
      <c r="D319" s="6"/>
      <c r="E319" s="14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6"/>
      <c r="D320" s="6"/>
      <c r="E320" s="14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6"/>
      <c r="D321" s="6"/>
      <c r="E321" s="14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6"/>
      <c r="D322" s="6"/>
      <c r="E322" s="14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6"/>
      <c r="D323" s="6"/>
      <c r="E323" s="14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6"/>
      <c r="D324" s="6"/>
      <c r="E324" s="14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6"/>
      <c r="D325" s="6"/>
      <c r="E325" s="14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6"/>
      <c r="D326" s="6"/>
      <c r="E326" s="14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6"/>
      <c r="D327" s="6"/>
      <c r="E327" s="14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6"/>
      <c r="D328" s="6"/>
      <c r="E328" s="14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6"/>
      <c r="D329" s="6"/>
      <c r="E329" s="14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6"/>
      <c r="D330" s="6"/>
      <c r="E330" s="14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6"/>
      <c r="D331" s="6"/>
      <c r="E331" s="14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6"/>
      <c r="D332" s="6"/>
      <c r="E332" s="14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6"/>
      <c r="D333" s="6"/>
      <c r="E333" s="14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6"/>
      <c r="D334" s="6"/>
      <c r="E334" s="14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6"/>
      <c r="D335" s="6"/>
      <c r="E335" s="14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6"/>
      <c r="D336" s="6"/>
      <c r="E336" s="14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6"/>
      <c r="D337" s="6"/>
      <c r="E337" s="14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6"/>
      <c r="D338" s="6"/>
      <c r="E338" s="14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6"/>
      <c r="D339" s="6"/>
      <c r="E339" s="14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6"/>
      <c r="D340" s="6"/>
      <c r="E340" s="14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6"/>
      <c r="D341" s="6"/>
      <c r="E341" s="14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6"/>
      <c r="D342" s="6"/>
      <c r="E342" s="14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6"/>
      <c r="D343" s="6"/>
      <c r="E343" s="14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6"/>
      <c r="D344" s="6"/>
      <c r="E344" s="14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6"/>
      <c r="D345" s="6"/>
      <c r="E345" s="14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6"/>
      <c r="D346" s="6"/>
      <c r="E346" s="14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6"/>
      <c r="D347" s="6"/>
      <c r="E347" s="14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6"/>
      <c r="D348" s="6"/>
      <c r="E348" s="14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6"/>
      <c r="D349" s="6"/>
      <c r="E349" s="14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6"/>
      <c r="D350" s="6"/>
      <c r="E350" s="14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6"/>
      <c r="D351" s="6"/>
      <c r="E351" s="14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6"/>
      <c r="D352" s="6"/>
      <c r="E352" s="14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6"/>
      <c r="D353" s="6"/>
      <c r="E353" s="14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6"/>
      <c r="D354" s="6"/>
      <c r="E354" s="14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6"/>
      <c r="D355" s="6"/>
      <c r="E355" s="14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6"/>
      <c r="D356" s="6"/>
      <c r="E356" s="14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6"/>
      <c r="D357" s="6"/>
      <c r="E357" s="14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6"/>
      <c r="D358" s="6"/>
      <c r="E358" s="14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6"/>
      <c r="D359" s="6"/>
      <c r="E359" s="14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6"/>
      <c r="D360" s="6"/>
      <c r="E360" s="14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6"/>
      <c r="D361" s="6"/>
      <c r="E361" s="14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6"/>
      <c r="D362" s="6"/>
      <c r="E362" s="14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6"/>
      <c r="D363" s="6"/>
      <c r="E363" s="14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6"/>
      <c r="D364" s="6"/>
      <c r="E364" s="14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6"/>
      <c r="D365" s="6"/>
      <c r="E365" s="14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6"/>
      <c r="D366" s="6"/>
      <c r="E366" s="14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6"/>
      <c r="D367" s="6"/>
      <c r="E367" s="14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6"/>
      <c r="D368" s="6"/>
      <c r="E368" s="14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6"/>
      <c r="D369" s="6"/>
      <c r="E369" s="14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6"/>
      <c r="D370" s="6"/>
      <c r="E370" s="14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6"/>
      <c r="D371" s="6"/>
      <c r="E371" s="14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6"/>
      <c r="D372" s="6"/>
      <c r="E372" s="14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6"/>
      <c r="D373" s="6"/>
      <c r="E373" s="14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6"/>
      <c r="D374" s="6"/>
      <c r="E374" s="14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6"/>
      <c r="D375" s="6"/>
      <c r="E375" s="14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6"/>
      <c r="D376" s="6"/>
      <c r="E376" s="14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6"/>
      <c r="D377" s="6"/>
      <c r="E377" s="14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6"/>
      <c r="D378" s="6"/>
      <c r="E378" s="14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6"/>
      <c r="D379" s="6"/>
      <c r="E379" s="14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6"/>
      <c r="D380" s="6"/>
      <c r="E380" s="14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6"/>
      <c r="D381" s="6"/>
      <c r="E381" s="14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6"/>
      <c r="D382" s="6"/>
      <c r="E382" s="14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6"/>
      <c r="D383" s="6"/>
      <c r="E383" s="14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6"/>
      <c r="D384" s="6"/>
      <c r="E384" s="14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6"/>
      <c r="D385" s="6"/>
      <c r="E385" s="14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6"/>
      <c r="D386" s="6"/>
      <c r="E386" s="14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6"/>
      <c r="D387" s="6"/>
      <c r="E387" s="14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6"/>
      <c r="D388" s="6"/>
      <c r="E388" s="14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6"/>
      <c r="D389" s="6"/>
      <c r="E389" s="14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6"/>
      <c r="D390" s="6"/>
      <c r="E390" s="14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6"/>
      <c r="D391" s="6"/>
      <c r="E391" s="14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6"/>
      <c r="D392" s="6"/>
      <c r="E392" s="14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6"/>
      <c r="D393" s="6"/>
      <c r="E393" s="14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6"/>
      <c r="D394" s="6"/>
      <c r="E394" s="14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6"/>
      <c r="D395" s="6"/>
      <c r="E395" s="14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6"/>
      <c r="D396" s="6"/>
      <c r="E396" s="14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6"/>
      <c r="D397" s="6"/>
      <c r="E397" s="14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6"/>
      <c r="D398" s="6"/>
      <c r="E398" s="14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6"/>
      <c r="D399" s="6"/>
      <c r="E399" s="14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6"/>
      <c r="D400" s="6"/>
      <c r="E400" s="14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6"/>
      <c r="D401" s="6"/>
      <c r="E401" s="14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6"/>
      <c r="D402" s="6"/>
      <c r="E402" s="14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6"/>
      <c r="D403" s="6"/>
      <c r="E403" s="14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6"/>
      <c r="D404" s="6"/>
      <c r="E404" s="14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6"/>
      <c r="D405" s="6"/>
      <c r="E405" s="14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6"/>
      <c r="D406" s="6"/>
      <c r="E406" s="14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6"/>
      <c r="D407" s="6"/>
      <c r="E407" s="14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6"/>
      <c r="D408" s="6"/>
      <c r="E408" s="14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6"/>
      <c r="D409" s="6"/>
      <c r="E409" s="14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6"/>
      <c r="D410" s="6"/>
      <c r="E410" s="14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6"/>
      <c r="D411" s="6"/>
      <c r="E411" s="14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6"/>
      <c r="D412" s="6"/>
      <c r="E412" s="14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6"/>
      <c r="D413" s="6"/>
      <c r="E413" s="14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6"/>
      <c r="D414" s="6"/>
      <c r="E414" s="14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6"/>
      <c r="D415" s="6"/>
      <c r="E415" s="14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6"/>
      <c r="D416" s="6"/>
      <c r="E416" s="14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6"/>
      <c r="D417" s="6"/>
      <c r="E417" s="14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6"/>
      <c r="D418" s="6"/>
      <c r="E418" s="14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6"/>
      <c r="D419" s="6"/>
      <c r="E419" s="14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6"/>
      <c r="D420" s="6"/>
      <c r="E420" s="14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6"/>
      <c r="D421" s="6"/>
      <c r="E421" s="14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6"/>
      <c r="D422" s="6"/>
      <c r="E422" s="14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6"/>
      <c r="D423" s="6"/>
      <c r="E423" s="14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6"/>
      <c r="D424" s="6"/>
      <c r="E424" s="14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6"/>
      <c r="D425" s="6"/>
      <c r="E425" s="14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6"/>
      <c r="D426" s="6"/>
      <c r="E426" s="14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6"/>
      <c r="D427" s="6"/>
      <c r="E427" s="14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6"/>
      <c r="D428" s="6"/>
      <c r="E428" s="14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6"/>
      <c r="D429" s="6"/>
      <c r="E429" s="14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6"/>
      <c r="D430" s="6"/>
      <c r="E430" s="14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6"/>
      <c r="D431" s="6"/>
      <c r="E431" s="14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6"/>
      <c r="D432" s="6"/>
      <c r="E432" s="14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6"/>
      <c r="D433" s="6"/>
      <c r="E433" s="14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6"/>
      <c r="D434" s="6"/>
      <c r="E434" s="14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6"/>
      <c r="D435" s="6"/>
      <c r="E435" s="14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6"/>
      <c r="D436" s="6"/>
      <c r="E436" s="14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6"/>
      <c r="D437" s="6"/>
      <c r="E437" s="14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6"/>
      <c r="D438" s="6"/>
      <c r="E438" s="14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6"/>
      <c r="D439" s="6"/>
      <c r="E439" s="14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6"/>
      <c r="D440" s="6"/>
      <c r="E440" s="14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6"/>
      <c r="D441" s="6"/>
      <c r="E441" s="14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6"/>
      <c r="D442" s="6"/>
      <c r="E442" s="14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6"/>
      <c r="D443" s="6"/>
      <c r="E443" s="14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6"/>
      <c r="D444" s="6"/>
      <c r="E444" s="14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6"/>
      <c r="D445" s="6"/>
      <c r="E445" s="14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6"/>
      <c r="D446" s="6"/>
      <c r="E446" s="14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6"/>
      <c r="D447" s="6"/>
      <c r="E447" s="14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6"/>
      <c r="D448" s="6"/>
      <c r="E448" s="14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6"/>
      <c r="D449" s="6"/>
      <c r="E449" s="14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6"/>
      <c r="D450" s="6"/>
      <c r="E450" s="14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6"/>
      <c r="D451" s="6"/>
      <c r="E451" s="14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6"/>
      <c r="D452" s="6"/>
      <c r="E452" s="14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6"/>
      <c r="D453" s="6"/>
      <c r="E453" s="14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6"/>
      <c r="D454" s="6"/>
      <c r="E454" s="14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6"/>
      <c r="D455" s="6"/>
      <c r="E455" s="14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6"/>
      <c r="D456" s="6"/>
      <c r="E456" s="14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6"/>
      <c r="D457" s="6"/>
      <c r="E457" s="14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6"/>
      <c r="D458" s="6"/>
      <c r="E458" s="14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6"/>
      <c r="D459" s="6"/>
      <c r="E459" s="14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6"/>
      <c r="D460" s="6"/>
      <c r="E460" s="14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6"/>
      <c r="D461" s="6"/>
      <c r="E461" s="14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6"/>
      <c r="D462" s="6"/>
      <c r="E462" s="14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6"/>
      <c r="D463" s="6"/>
      <c r="E463" s="14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6"/>
      <c r="D464" s="6"/>
      <c r="E464" s="14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6"/>
      <c r="D465" s="6"/>
      <c r="E465" s="14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6"/>
      <c r="D466" s="6"/>
      <c r="E466" s="14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6"/>
      <c r="D467" s="6"/>
      <c r="E467" s="14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6"/>
      <c r="D468" s="6"/>
      <c r="E468" s="14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6"/>
      <c r="D469" s="6"/>
      <c r="E469" s="14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6"/>
      <c r="D470" s="6"/>
      <c r="E470" s="14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6"/>
      <c r="D471" s="6"/>
      <c r="E471" s="14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6"/>
      <c r="D472" s="6"/>
      <c r="E472" s="14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6"/>
      <c r="D473" s="6"/>
      <c r="E473" s="14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6"/>
      <c r="D474" s="6"/>
      <c r="E474" s="14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6"/>
      <c r="D475" s="6"/>
      <c r="E475" s="14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6"/>
      <c r="D476" s="6"/>
      <c r="E476" s="14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6"/>
      <c r="D477" s="6"/>
      <c r="E477" s="14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6"/>
      <c r="D478" s="6"/>
      <c r="E478" s="14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6"/>
      <c r="D479" s="6"/>
      <c r="E479" s="14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6"/>
      <c r="D480" s="6"/>
      <c r="E480" s="14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6"/>
      <c r="D481" s="6"/>
      <c r="E481" s="14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6"/>
      <c r="D482" s="6"/>
      <c r="E482" s="14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6"/>
      <c r="D483" s="6"/>
      <c r="E483" s="14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6"/>
      <c r="D484" s="6"/>
      <c r="E484" s="14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6"/>
      <c r="D485" s="6"/>
      <c r="E485" s="14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6"/>
      <c r="D486" s="6"/>
      <c r="E486" s="14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6"/>
      <c r="D487" s="6"/>
      <c r="E487" s="14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6"/>
      <c r="D488" s="6"/>
      <c r="E488" s="14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6"/>
      <c r="D489" s="6"/>
      <c r="E489" s="14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6"/>
      <c r="D490" s="6"/>
      <c r="E490" s="14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6"/>
      <c r="D491" s="6"/>
      <c r="E491" s="14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6"/>
      <c r="D492" s="6"/>
      <c r="E492" s="14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6"/>
      <c r="D493" s="6"/>
      <c r="E493" s="14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6"/>
      <c r="D494" s="6"/>
      <c r="E494" s="14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6"/>
      <c r="D495" s="6"/>
      <c r="E495" s="14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6"/>
      <c r="D496" s="6"/>
      <c r="E496" s="14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6"/>
      <c r="D497" s="6"/>
      <c r="E497" s="14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6"/>
      <c r="D498" s="6"/>
      <c r="E498" s="14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6"/>
      <c r="D499" s="6"/>
      <c r="E499" s="14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6"/>
      <c r="D500" s="6"/>
      <c r="E500" s="14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6"/>
      <c r="D501" s="6"/>
      <c r="E501" s="14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6"/>
      <c r="D502" s="6"/>
      <c r="E502" s="14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6"/>
      <c r="D503" s="6"/>
      <c r="E503" s="14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6"/>
      <c r="D504" s="6"/>
      <c r="E504" s="14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6"/>
      <c r="D505" s="6"/>
      <c r="E505" s="14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6"/>
      <c r="D506" s="6"/>
      <c r="E506" s="14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6"/>
      <c r="D507" s="6"/>
      <c r="E507" s="14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6"/>
      <c r="D508" s="6"/>
      <c r="E508" s="14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6"/>
      <c r="D509" s="6"/>
      <c r="E509" s="14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6"/>
      <c r="D510" s="6"/>
      <c r="E510" s="14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6"/>
      <c r="D511" s="6"/>
      <c r="E511" s="14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6"/>
      <c r="D512" s="6"/>
      <c r="E512" s="14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6"/>
      <c r="D513" s="6"/>
      <c r="E513" s="14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6"/>
      <c r="D514" s="6"/>
      <c r="E514" s="14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6"/>
      <c r="D515" s="6"/>
      <c r="E515" s="14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6"/>
      <c r="D516" s="6"/>
      <c r="E516" s="14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6"/>
      <c r="D517" s="6"/>
      <c r="E517" s="14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6"/>
      <c r="D518" s="6"/>
      <c r="E518" s="14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6"/>
      <c r="D519" s="6"/>
      <c r="E519" s="14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6"/>
      <c r="D520" s="6"/>
      <c r="E520" s="14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6"/>
      <c r="D521" s="6"/>
      <c r="E521" s="14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6"/>
      <c r="D522" s="6"/>
      <c r="E522" s="14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6"/>
      <c r="D523" s="6"/>
      <c r="E523" s="14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6"/>
      <c r="D524" s="6"/>
      <c r="E524" s="14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6"/>
      <c r="D525" s="6"/>
      <c r="E525" s="14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6"/>
      <c r="D526" s="6"/>
      <c r="E526" s="14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6"/>
      <c r="D527" s="6"/>
      <c r="E527" s="14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6"/>
      <c r="D528" s="6"/>
      <c r="E528" s="14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6"/>
      <c r="D529" s="6"/>
      <c r="E529" s="14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6"/>
      <c r="D530" s="6"/>
      <c r="E530" s="14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6"/>
      <c r="D531" s="6"/>
      <c r="E531" s="14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6"/>
      <c r="D532" s="6"/>
      <c r="E532" s="14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6"/>
      <c r="D533" s="6"/>
      <c r="E533" s="14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6"/>
      <c r="D534" s="6"/>
      <c r="E534" s="14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6"/>
      <c r="D535" s="6"/>
      <c r="E535" s="14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6"/>
      <c r="D536" s="6"/>
      <c r="E536" s="14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6"/>
      <c r="D537" s="6"/>
      <c r="E537" s="14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6"/>
      <c r="D538" s="6"/>
      <c r="E538" s="14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6"/>
      <c r="D539" s="6"/>
      <c r="E539" s="14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6"/>
      <c r="D540" s="6"/>
      <c r="E540" s="14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6"/>
      <c r="D541" s="6"/>
      <c r="E541" s="14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6"/>
      <c r="D542" s="6"/>
      <c r="E542" s="14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6"/>
      <c r="D543" s="6"/>
      <c r="E543" s="14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6"/>
      <c r="D544" s="6"/>
      <c r="E544" s="14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6"/>
      <c r="D545" s="6"/>
      <c r="E545" s="14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6"/>
      <c r="D546" s="6"/>
      <c r="E546" s="14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6"/>
      <c r="D547" s="6"/>
      <c r="E547" s="14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6"/>
      <c r="D548" s="6"/>
      <c r="E548" s="14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6"/>
      <c r="D549" s="6"/>
      <c r="E549" s="14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6"/>
      <c r="D550" s="6"/>
      <c r="E550" s="14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6"/>
      <c r="D551" s="6"/>
      <c r="E551" s="14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6"/>
      <c r="D552" s="6"/>
      <c r="E552" s="14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6"/>
      <c r="D553" s="6"/>
      <c r="E553" s="14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6"/>
      <c r="D554" s="6"/>
      <c r="E554" s="14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6"/>
      <c r="D555" s="6"/>
      <c r="E555" s="14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6"/>
      <c r="D556" s="6"/>
      <c r="E556" s="14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6"/>
      <c r="D557" s="6"/>
      <c r="E557" s="14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6"/>
      <c r="D558" s="6"/>
      <c r="E558" s="14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6"/>
      <c r="D559" s="6"/>
      <c r="E559" s="14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6"/>
      <c r="D560" s="6"/>
      <c r="E560" s="14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6"/>
      <c r="D561" s="6"/>
      <c r="E561" s="14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6"/>
      <c r="D562" s="6"/>
      <c r="E562" s="14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6"/>
      <c r="D563" s="6"/>
      <c r="E563" s="14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6"/>
      <c r="D564" s="6"/>
      <c r="E564" s="14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6"/>
      <c r="D565" s="6"/>
      <c r="E565" s="14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6"/>
      <c r="D566" s="6"/>
      <c r="E566" s="14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6"/>
      <c r="D567" s="6"/>
      <c r="E567" s="14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6"/>
      <c r="D568" s="6"/>
      <c r="E568" s="14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6"/>
      <c r="D569" s="6"/>
      <c r="E569" s="14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6"/>
      <c r="D570" s="6"/>
      <c r="E570" s="14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6"/>
      <c r="D571" s="6"/>
      <c r="E571" s="14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6"/>
      <c r="D572" s="6"/>
      <c r="E572" s="14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6"/>
      <c r="D573" s="6"/>
      <c r="E573" s="14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6"/>
      <c r="D574" s="6"/>
      <c r="E574" s="14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6"/>
      <c r="D575" s="6"/>
      <c r="E575" s="14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6"/>
      <c r="D576" s="6"/>
      <c r="E576" s="14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6"/>
      <c r="D577" s="6"/>
      <c r="E577" s="14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6"/>
      <c r="D578" s="6"/>
      <c r="E578" s="14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6"/>
      <c r="D579" s="6"/>
      <c r="E579" s="14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6"/>
      <c r="D580" s="6"/>
      <c r="E580" s="14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6"/>
      <c r="D581" s="6"/>
      <c r="E581" s="14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6"/>
      <c r="D582" s="6"/>
      <c r="E582" s="14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6"/>
      <c r="D583" s="6"/>
      <c r="E583" s="14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6"/>
      <c r="D584" s="6"/>
      <c r="E584" s="14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6"/>
      <c r="D585" s="6"/>
      <c r="E585" s="14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6"/>
      <c r="D586" s="6"/>
      <c r="E586" s="14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6"/>
      <c r="D587" s="6"/>
      <c r="E587" s="14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6"/>
      <c r="D588" s="6"/>
      <c r="E588" s="14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6"/>
      <c r="D589" s="6"/>
      <c r="E589" s="14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6"/>
      <c r="D590" s="6"/>
      <c r="E590" s="14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6"/>
      <c r="D591" s="6"/>
      <c r="E591" s="14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6"/>
      <c r="D592" s="6"/>
      <c r="E592" s="14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6"/>
      <c r="D593" s="6"/>
      <c r="E593" s="14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6"/>
      <c r="D594" s="6"/>
      <c r="E594" s="14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6"/>
      <c r="D595" s="6"/>
      <c r="E595" s="14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6"/>
      <c r="D596" s="6"/>
      <c r="E596" s="14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6"/>
      <c r="D597" s="6"/>
      <c r="E597" s="14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6"/>
      <c r="D598" s="6"/>
      <c r="E598" s="14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6"/>
      <c r="D599" s="6"/>
      <c r="E599" s="14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6"/>
      <c r="D600" s="6"/>
      <c r="E600" s="14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6"/>
      <c r="D601" s="6"/>
      <c r="E601" s="14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6"/>
      <c r="D602" s="6"/>
      <c r="E602" s="14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6"/>
      <c r="D603" s="6"/>
      <c r="E603" s="14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6"/>
      <c r="D604" s="6"/>
      <c r="E604" s="14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6"/>
      <c r="D605" s="6"/>
      <c r="E605" s="14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6"/>
      <c r="D606" s="6"/>
      <c r="E606" s="14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6"/>
      <c r="D607" s="6"/>
      <c r="E607" s="14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6"/>
      <c r="D608" s="6"/>
      <c r="E608" s="14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6"/>
      <c r="D609" s="6"/>
      <c r="E609" s="14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6"/>
      <c r="D610" s="6"/>
      <c r="E610" s="14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6"/>
      <c r="D611" s="6"/>
      <c r="E611" s="14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6"/>
      <c r="D612" s="6"/>
      <c r="E612" s="14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6"/>
      <c r="D613" s="6"/>
      <c r="E613" s="14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6"/>
      <c r="D614" s="6"/>
      <c r="E614" s="14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6"/>
      <c r="D615" s="6"/>
      <c r="E615" s="14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6"/>
      <c r="D616" s="6"/>
      <c r="E616" s="14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6"/>
      <c r="D617" s="6"/>
      <c r="E617" s="14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6"/>
      <c r="D618" s="6"/>
      <c r="E618" s="14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6"/>
      <c r="D619" s="6"/>
      <c r="E619" s="14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6"/>
      <c r="D620" s="6"/>
      <c r="E620" s="14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6"/>
      <c r="D621" s="6"/>
      <c r="E621" s="14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6"/>
      <c r="D622" s="6"/>
      <c r="E622" s="14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6"/>
      <c r="D623" s="6"/>
      <c r="E623" s="14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6"/>
      <c r="D624" s="6"/>
      <c r="E624" s="14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6"/>
      <c r="D625" s="6"/>
      <c r="E625" s="14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6"/>
      <c r="D626" s="6"/>
      <c r="E626" s="14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6"/>
      <c r="D627" s="6"/>
      <c r="E627" s="14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6"/>
      <c r="D628" s="6"/>
      <c r="E628" s="14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6"/>
      <c r="D629" s="6"/>
      <c r="E629" s="14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6"/>
      <c r="D630" s="6"/>
      <c r="E630" s="14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6"/>
      <c r="D631" s="6"/>
      <c r="E631" s="14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6"/>
      <c r="D632" s="6"/>
      <c r="E632" s="14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6"/>
      <c r="D633" s="6"/>
      <c r="E633" s="14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6"/>
      <c r="D634" s="6"/>
      <c r="E634" s="14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6"/>
      <c r="D635" s="6"/>
      <c r="E635" s="14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6"/>
      <c r="D636" s="6"/>
      <c r="E636" s="14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6"/>
      <c r="D637" s="6"/>
      <c r="E637" s="14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6"/>
      <c r="D638" s="6"/>
      <c r="E638" s="14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6"/>
      <c r="D639" s="6"/>
      <c r="E639" s="14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6"/>
      <c r="D640" s="6"/>
      <c r="E640" s="14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6"/>
      <c r="D641" s="6"/>
      <c r="E641" s="14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6"/>
      <c r="D642" s="6"/>
      <c r="E642" s="14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6"/>
      <c r="D643" s="6"/>
      <c r="E643" s="14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6"/>
      <c r="D644" s="6"/>
      <c r="E644" s="14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6"/>
      <c r="D645" s="6"/>
      <c r="E645" s="14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6"/>
      <c r="D646" s="6"/>
      <c r="E646" s="14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6"/>
      <c r="D647" s="6"/>
      <c r="E647" s="14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6"/>
      <c r="D648" s="6"/>
      <c r="E648" s="14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6"/>
      <c r="D649" s="6"/>
      <c r="E649" s="14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6"/>
      <c r="D650" s="6"/>
      <c r="E650" s="14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6"/>
      <c r="D651" s="6"/>
      <c r="E651" s="14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6"/>
      <c r="D652" s="6"/>
      <c r="E652" s="14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6"/>
      <c r="D653" s="6"/>
      <c r="E653" s="14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6"/>
      <c r="D654" s="6"/>
      <c r="E654" s="14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6"/>
      <c r="D655" s="6"/>
      <c r="E655" s="14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6"/>
      <c r="D656" s="6"/>
      <c r="E656" s="14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6"/>
      <c r="D657" s="6"/>
      <c r="E657" s="14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6"/>
      <c r="D658" s="6"/>
      <c r="E658" s="14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6"/>
      <c r="D659" s="6"/>
      <c r="E659" s="14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6"/>
      <c r="D660" s="6"/>
      <c r="E660" s="14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6"/>
      <c r="D661" s="6"/>
      <c r="E661" s="14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6"/>
      <c r="D662" s="6"/>
      <c r="E662" s="14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6"/>
      <c r="D663" s="6"/>
      <c r="E663" s="14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6"/>
      <c r="D664" s="6"/>
      <c r="E664" s="14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6"/>
      <c r="D665" s="6"/>
      <c r="E665" s="14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6"/>
      <c r="D666" s="6"/>
      <c r="E666" s="14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6"/>
      <c r="D667" s="6"/>
      <c r="E667" s="14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6"/>
      <c r="D668" s="6"/>
      <c r="E668" s="14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6"/>
      <c r="D669" s="6"/>
      <c r="E669" s="14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6"/>
      <c r="D670" s="6"/>
      <c r="E670" s="14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6"/>
      <c r="D671" s="6"/>
      <c r="E671" s="14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6"/>
      <c r="D672" s="6"/>
      <c r="E672" s="14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6"/>
      <c r="D673" s="6"/>
      <c r="E673" s="14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6"/>
      <c r="D674" s="6"/>
      <c r="E674" s="14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6"/>
      <c r="D675" s="6"/>
      <c r="E675" s="14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6"/>
      <c r="D676" s="6"/>
      <c r="E676" s="14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6"/>
      <c r="D677" s="6"/>
      <c r="E677" s="14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6"/>
      <c r="D678" s="6"/>
      <c r="E678" s="14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6"/>
      <c r="D679" s="6"/>
      <c r="E679" s="14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6"/>
      <c r="D680" s="6"/>
      <c r="E680" s="14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6"/>
      <c r="D681" s="6"/>
      <c r="E681" s="14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6"/>
      <c r="D682" s="6"/>
      <c r="E682" s="14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6"/>
      <c r="D683" s="6"/>
      <c r="E683" s="14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6"/>
      <c r="D684" s="6"/>
      <c r="E684" s="14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6"/>
      <c r="D685" s="6"/>
      <c r="E685" s="14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6"/>
      <c r="D686" s="6"/>
      <c r="E686" s="14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6"/>
      <c r="D687" s="6"/>
      <c r="E687" s="14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6"/>
      <c r="D688" s="6"/>
      <c r="E688" s="14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6"/>
      <c r="D689" s="6"/>
      <c r="E689" s="14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6"/>
      <c r="D690" s="6"/>
      <c r="E690" s="14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6"/>
      <c r="D691" s="6"/>
      <c r="E691" s="14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6"/>
      <c r="D692" s="6"/>
      <c r="E692" s="14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6"/>
      <c r="D693" s="6"/>
      <c r="E693" s="14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6"/>
      <c r="D694" s="6"/>
      <c r="E694" s="14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6"/>
      <c r="D695" s="6"/>
      <c r="E695" s="14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6"/>
      <c r="D696" s="6"/>
      <c r="E696" s="14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6"/>
      <c r="D697" s="6"/>
      <c r="E697" s="14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6"/>
      <c r="D698" s="6"/>
      <c r="E698" s="14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6"/>
      <c r="D699" s="6"/>
      <c r="E699" s="14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6"/>
      <c r="D700" s="6"/>
      <c r="E700" s="14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6"/>
      <c r="D701" s="6"/>
      <c r="E701" s="14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6"/>
      <c r="D702" s="6"/>
      <c r="E702" s="14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6"/>
      <c r="D703" s="6"/>
      <c r="E703" s="14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6"/>
      <c r="D704" s="6"/>
      <c r="E704" s="14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6"/>
      <c r="D705" s="6"/>
      <c r="E705" s="14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6"/>
      <c r="D706" s="6"/>
      <c r="E706" s="14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6"/>
      <c r="D707" s="6"/>
      <c r="E707" s="14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6"/>
      <c r="D708" s="6"/>
      <c r="E708" s="14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6"/>
      <c r="D709" s="6"/>
      <c r="E709" s="14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6"/>
      <c r="D710" s="6"/>
      <c r="E710" s="14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6"/>
      <c r="D711" s="6"/>
      <c r="E711" s="14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6"/>
      <c r="D712" s="6"/>
      <c r="E712" s="14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6"/>
      <c r="D713" s="6"/>
      <c r="E713" s="14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6"/>
      <c r="D714" s="6"/>
      <c r="E714" s="14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6"/>
      <c r="D715" s="6"/>
      <c r="E715" s="14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6"/>
      <c r="D716" s="6"/>
      <c r="E716" s="14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6"/>
      <c r="D717" s="6"/>
      <c r="E717" s="14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6"/>
      <c r="D718" s="6"/>
      <c r="E718" s="14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6"/>
      <c r="D719" s="6"/>
      <c r="E719" s="14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6"/>
      <c r="D720" s="6"/>
      <c r="E720" s="14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6"/>
      <c r="D721" s="6"/>
      <c r="E721" s="14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6"/>
      <c r="D722" s="6"/>
      <c r="E722" s="14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6"/>
      <c r="D723" s="6"/>
      <c r="E723" s="14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6"/>
      <c r="D724" s="6"/>
      <c r="E724" s="14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6"/>
      <c r="D725" s="6"/>
      <c r="E725" s="14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6"/>
      <c r="D726" s="6"/>
      <c r="E726" s="14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6"/>
      <c r="D727" s="6"/>
      <c r="E727" s="14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6"/>
      <c r="D728" s="6"/>
      <c r="E728" s="14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6"/>
      <c r="D729" s="6"/>
      <c r="E729" s="14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6"/>
      <c r="D730" s="6"/>
      <c r="E730" s="14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6"/>
      <c r="D731" s="6"/>
      <c r="E731" s="14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6"/>
      <c r="D732" s="6"/>
      <c r="E732" s="14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6"/>
      <c r="D733" s="6"/>
      <c r="E733" s="14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6"/>
      <c r="D734" s="6"/>
      <c r="E734" s="14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6"/>
      <c r="D735" s="6"/>
      <c r="E735" s="14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6"/>
      <c r="D736" s="6"/>
      <c r="E736" s="14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6"/>
      <c r="D737" s="6"/>
      <c r="E737" s="14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6"/>
      <c r="D738" s="6"/>
      <c r="E738" s="14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6"/>
      <c r="D739" s="6"/>
      <c r="E739" s="14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6"/>
      <c r="D740" s="6"/>
      <c r="E740" s="14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6"/>
      <c r="D741" s="6"/>
      <c r="E741" s="14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6"/>
      <c r="D742" s="6"/>
      <c r="E742" s="14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6"/>
      <c r="D743" s="6"/>
      <c r="E743" s="14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6"/>
      <c r="D744" s="6"/>
      <c r="E744" s="14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6"/>
      <c r="D745" s="6"/>
      <c r="E745" s="14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6"/>
      <c r="D746" s="6"/>
      <c r="E746" s="14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6"/>
      <c r="D747" s="6"/>
      <c r="E747" s="14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6"/>
      <c r="D748" s="6"/>
      <c r="E748" s="14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6"/>
      <c r="D749" s="6"/>
      <c r="E749" s="14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6"/>
      <c r="D750" s="6"/>
      <c r="E750" s="14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6"/>
      <c r="D751" s="6"/>
      <c r="E751" s="14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6"/>
      <c r="D752" s="6"/>
      <c r="E752" s="14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6"/>
      <c r="D753" s="6"/>
      <c r="E753" s="14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6"/>
      <c r="D754" s="6"/>
      <c r="E754" s="14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6"/>
      <c r="D755" s="6"/>
      <c r="E755" s="14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6"/>
      <c r="D756" s="6"/>
      <c r="E756" s="14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6"/>
      <c r="D757" s="6"/>
      <c r="E757" s="14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6"/>
      <c r="D758" s="6"/>
      <c r="E758" s="14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6"/>
      <c r="D759" s="6"/>
      <c r="E759" s="14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6"/>
      <c r="D760" s="6"/>
      <c r="E760" s="14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6"/>
      <c r="D761" s="6"/>
      <c r="E761" s="14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6"/>
      <c r="D762" s="6"/>
      <c r="E762" s="14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6"/>
      <c r="D763" s="6"/>
      <c r="E763" s="14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6"/>
      <c r="D764" s="6"/>
      <c r="E764" s="14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6"/>
      <c r="D765" s="6"/>
      <c r="E765" s="14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6"/>
      <c r="D766" s="6"/>
      <c r="E766" s="14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6"/>
      <c r="D767" s="6"/>
      <c r="E767" s="14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6"/>
      <c r="D768" s="6"/>
      <c r="E768" s="14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6"/>
      <c r="D769" s="6"/>
      <c r="E769" s="14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6"/>
      <c r="D770" s="6"/>
      <c r="E770" s="14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6"/>
      <c r="D771" s="6"/>
      <c r="E771" s="14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6"/>
      <c r="D772" s="6"/>
      <c r="E772" s="14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6"/>
      <c r="D773" s="6"/>
      <c r="E773" s="14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6"/>
      <c r="D774" s="6"/>
      <c r="E774" s="14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6"/>
      <c r="D775" s="6"/>
      <c r="E775" s="14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6"/>
      <c r="D776" s="6"/>
      <c r="E776" s="14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6"/>
      <c r="D777" s="6"/>
      <c r="E777" s="14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6"/>
      <c r="D778" s="6"/>
      <c r="E778" s="14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6"/>
      <c r="D779" s="6"/>
      <c r="E779" s="14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6"/>
      <c r="D780" s="6"/>
      <c r="E780" s="14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6"/>
      <c r="D781" s="6"/>
      <c r="E781" s="14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6"/>
      <c r="D782" s="6"/>
      <c r="E782" s="14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6"/>
      <c r="D783" s="6"/>
      <c r="E783" s="14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6"/>
      <c r="D784" s="6"/>
      <c r="E784" s="14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6"/>
      <c r="D785" s="6"/>
      <c r="E785" s="14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6"/>
      <c r="D786" s="6"/>
      <c r="E786" s="14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6"/>
      <c r="D787" s="6"/>
      <c r="E787" s="14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6"/>
      <c r="D788" s="6"/>
      <c r="E788" s="14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6"/>
      <c r="D789" s="6"/>
      <c r="E789" s="14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6"/>
      <c r="D790" s="6"/>
      <c r="E790" s="14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6"/>
      <c r="D791" s="6"/>
      <c r="E791" s="14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6"/>
      <c r="D792" s="6"/>
      <c r="E792" s="14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6"/>
      <c r="D793" s="6"/>
      <c r="E793" s="14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6"/>
      <c r="D794" s="6"/>
      <c r="E794" s="14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6"/>
      <c r="D795" s="6"/>
      <c r="E795" s="14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6"/>
      <c r="D796" s="6"/>
      <c r="E796" s="14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6"/>
      <c r="D797" s="6"/>
      <c r="E797" s="14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6"/>
      <c r="D798" s="6"/>
      <c r="E798" s="14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6"/>
      <c r="D799" s="6"/>
      <c r="E799" s="14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6"/>
      <c r="D800" s="6"/>
      <c r="E800" s="14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6"/>
      <c r="D801" s="6"/>
      <c r="E801" s="14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6"/>
      <c r="D802" s="6"/>
      <c r="E802" s="14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6"/>
      <c r="D803" s="6"/>
      <c r="E803" s="14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6"/>
      <c r="D804" s="6"/>
      <c r="E804" s="14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6"/>
      <c r="D805" s="6"/>
      <c r="E805" s="14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6"/>
      <c r="D806" s="6"/>
      <c r="E806" s="14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6"/>
      <c r="D807" s="6"/>
      <c r="E807" s="14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6"/>
      <c r="D808" s="6"/>
      <c r="E808" s="14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6"/>
      <c r="D809" s="6"/>
      <c r="E809" s="14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6"/>
      <c r="D810" s="6"/>
      <c r="E810" s="14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6"/>
      <c r="D811" s="6"/>
      <c r="E811" s="14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6"/>
      <c r="D812" s="6"/>
      <c r="E812" s="14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6"/>
      <c r="D813" s="6"/>
      <c r="E813" s="14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6"/>
      <c r="D814" s="6"/>
      <c r="E814" s="14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6"/>
      <c r="D815" s="6"/>
      <c r="E815" s="14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6"/>
      <c r="D816" s="6"/>
      <c r="E816" s="14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6"/>
      <c r="D817" s="6"/>
      <c r="E817" s="14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6"/>
      <c r="D818" s="6"/>
      <c r="E818" s="14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6"/>
      <c r="D819" s="6"/>
      <c r="E819" s="14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6"/>
      <c r="D820" s="6"/>
      <c r="E820" s="14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6"/>
      <c r="D821" s="6"/>
      <c r="E821" s="14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6"/>
      <c r="D822" s="6"/>
      <c r="E822" s="14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6"/>
      <c r="D823" s="6"/>
      <c r="E823" s="14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6"/>
      <c r="D824" s="6"/>
      <c r="E824" s="14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6"/>
      <c r="D825" s="6"/>
      <c r="E825" s="14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6"/>
      <c r="D826" s="6"/>
      <c r="E826" s="14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6"/>
      <c r="D827" s="6"/>
      <c r="E827" s="14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6"/>
      <c r="D828" s="6"/>
      <c r="E828" s="14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6"/>
      <c r="D829" s="6"/>
      <c r="E829" s="14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6"/>
      <c r="D830" s="6"/>
      <c r="E830" s="14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6"/>
      <c r="D831" s="6"/>
      <c r="E831" s="14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6"/>
      <c r="D832" s="6"/>
      <c r="E832" s="14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6"/>
      <c r="D833" s="6"/>
      <c r="E833" s="14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6"/>
      <c r="D834" s="6"/>
      <c r="E834" s="14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6"/>
      <c r="D835" s="6"/>
      <c r="E835" s="14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6"/>
      <c r="D836" s="6"/>
      <c r="E836" s="14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6"/>
      <c r="D837" s="6"/>
      <c r="E837" s="14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6"/>
      <c r="D838" s="6"/>
      <c r="E838" s="14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6"/>
      <c r="D839" s="6"/>
      <c r="E839" s="14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6"/>
      <c r="D840" s="6"/>
      <c r="E840" s="14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6"/>
      <c r="D841" s="6"/>
      <c r="E841" s="14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6"/>
      <c r="D842" s="6"/>
      <c r="E842" s="14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6"/>
      <c r="D843" s="6"/>
      <c r="E843" s="14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6"/>
      <c r="D844" s="6"/>
      <c r="E844" s="14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6"/>
      <c r="D845" s="6"/>
      <c r="E845" s="14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6"/>
      <c r="D846" s="6"/>
      <c r="E846" s="14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6"/>
      <c r="D847" s="6"/>
      <c r="E847" s="14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6"/>
      <c r="D848" s="6"/>
      <c r="E848" s="14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6"/>
      <c r="D849" s="6"/>
      <c r="E849" s="14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6"/>
      <c r="D850" s="6"/>
      <c r="E850" s="14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6"/>
      <c r="D851" s="6"/>
      <c r="E851" s="14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6"/>
      <c r="D852" s="6"/>
      <c r="E852" s="14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6"/>
      <c r="D853" s="6"/>
      <c r="E853" s="14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6"/>
      <c r="D854" s="6"/>
      <c r="E854" s="14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6"/>
      <c r="D855" s="6"/>
      <c r="E855" s="14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6"/>
      <c r="D856" s="6"/>
      <c r="E856" s="14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6"/>
      <c r="D857" s="6"/>
      <c r="E857" s="14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6"/>
      <c r="D858" s="6"/>
      <c r="E858" s="14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6"/>
      <c r="D859" s="6"/>
      <c r="E859" s="14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6"/>
      <c r="D860" s="6"/>
      <c r="E860" s="14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6"/>
      <c r="D861" s="6"/>
      <c r="E861" s="14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6"/>
      <c r="D862" s="6"/>
      <c r="E862" s="14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6"/>
      <c r="D863" s="6"/>
      <c r="E863" s="14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6"/>
      <c r="D864" s="6"/>
      <c r="E864" s="14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6"/>
      <c r="D865" s="6"/>
      <c r="E865" s="14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6"/>
      <c r="D866" s="6"/>
      <c r="E866" s="14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6"/>
      <c r="D867" s="6"/>
      <c r="E867" s="14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6"/>
      <c r="D868" s="6"/>
      <c r="E868" s="14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6"/>
      <c r="D869" s="6"/>
      <c r="E869" s="14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6"/>
      <c r="D870" s="6"/>
      <c r="E870" s="14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6"/>
      <c r="D871" s="6"/>
      <c r="E871" s="14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6"/>
      <c r="D872" s="6"/>
      <c r="E872" s="14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6"/>
      <c r="D873" s="6"/>
      <c r="E873" s="14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6"/>
      <c r="D874" s="6"/>
      <c r="E874" s="14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6"/>
      <c r="D875" s="6"/>
      <c r="E875" s="14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6"/>
      <c r="D876" s="6"/>
      <c r="E876" s="14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6"/>
      <c r="D877" s="6"/>
      <c r="E877" s="14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6"/>
      <c r="D878" s="6"/>
      <c r="E878" s="14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6"/>
      <c r="D879" s="6"/>
      <c r="E879" s="14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6"/>
      <c r="D880" s="6"/>
      <c r="E880" s="14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6"/>
      <c r="D881" s="6"/>
      <c r="E881" s="14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6"/>
      <c r="D882" s="6"/>
      <c r="E882" s="14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6"/>
      <c r="D883" s="6"/>
      <c r="E883" s="14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6"/>
      <c r="D884" s="6"/>
      <c r="E884" s="14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6"/>
      <c r="D885" s="6"/>
      <c r="E885" s="14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6"/>
      <c r="D886" s="6"/>
      <c r="E886" s="14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6"/>
      <c r="D887" s="6"/>
      <c r="E887" s="14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6"/>
      <c r="D888" s="6"/>
      <c r="E888" s="14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6"/>
      <c r="D889" s="6"/>
      <c r="E889" s="14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6"/>
      <c r="D890" s="6"/>
      <c r="E890" s="14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6"/>
      <c r="D891" s="6"/>
      <c r="E891" s="14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6"/>
      <c r="D892" s="6"/>
      <c r="E892" s="14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6"/>
      <c r="D893" s="6"/>
      <c r="E893" s="14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6"/>
      <c r="D894" s="6"/>
      <c r="E894" s="14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6"/>
      <c r="D895" s="6"/>
      <c r="E895" s="14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6"/>
      <c r="D896" s="6"/>
      <c r="E896" s="14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6"/>
      <c r="D897" s="6"/>
      <c r="E897" s="14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6"/>
      <c r="D898" s="6"/>
      <c r="E898" s="14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6"/>
      <c r="D899" s="6"/>
      <c r="E899" s="14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6"/>
      <c r="D900" s="6"/>
      <c r="E900" s="14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6"/>
      <c r="D901" s="6"/>
      <c r="E901" s="14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6"/>
      <c r="D902" s="6"/>
      <c r="E902" s="14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6"/>
      <c r="D903" s="6"/>
      <c r="E903" s="14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6"/>
      <c r="D904" s="6"/>
      <c r="E904" s="14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6"/>
      <c r="D905" s="6"/>
      <c r="E905" s="14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6"/>
      <c r="D906" s="6"/>
      <c r="E906" s="14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6"/>
      <c r="D907" s="6"/>
      <c r="E907" s="14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6"/>
      <c r="D908" s="6"/>
      <c r="E908" s="14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6"/>
      <c r="D909" s="6"/>
      <c r="E909" s="14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6"/>
      <c r="D910" s="6"/>
      <c r="E910" s="14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6"/>
      <c r="D911" s="6"/>
      <c r="E911" s="14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6"/>
      <c r="D912" s="6"/>
      <c r="E912" s="14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6"/>
      <c r="D913" s="6"/>
      <c r="E913" s="14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6"/>
      <c r="D914" s="6"/>
      <c r="E914" s="14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6"/>
      <c r="D915" s="6"/>
      <c r="E915" s="14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6"/>
      <c r="D916" s="6"/>
      <c r="E916" s="14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6"/>
      <c r="D917" s="6"/>
      <c r="E917" s="14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6"/>
      <c r="D918" s="6"/>
      <c r="E918" s="14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6"/>
      <c r="D919" s="6"/>
      <c r="E919" s="14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6"/>
      <c r="D920" s="6"/>
      <c r="E920" s="14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6"/>
      <c r="D921" s="6"/>
      <c r="E921" s="14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6"/>
      <c r="D922" s="6"/>
      <c r="E922" s="14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6"/>
      <c r="D923" s="6"/>
      <c r="E923" s="14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6"/>
      <c r="D924" s="6"/>
      <c r="E924" s="14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6"/>
      <c r="D925" s="6"/>
      <c r="E925" s="14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6"/>
      <c r="D926" s="6"/>
      <c r="E926" s="14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6"/>
      <c r="D927" s="6"/>
      <c r="E927" s="14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6"/>
      <c r="D928" s="6"/>
      <c r="E928" s="14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6"/>
      <c r="D929" s="6"/>
      <c r="E929" s="14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6"/>
      <c r="D930" s="6"/>
      <c r="E930" s="14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6"/>
      <c r="D931" s="6"/>
      <c r="E931" s="14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6"/>
      <c r="D932" s="6"/>
      <c r="E932" s="14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6"/>
      <c r="D933" s="6"/>
      <c r="E933" s="14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6"/>
      <c r="D934" s="6"/>
      <c r="E934" s="14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6"/>
      <c r="D935" s="6"/>
      <c r="E935" s="14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6"/>
      <c r="D936" s="6"/>
      <c r="E936" s="14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6"/>
      <c r="D937" s="6"/>
      <c r="E937" s="14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6"/>
      <c r="D938" s="6"/>
      <c r="E938" s="14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6"/>
      <c r="D939" s="6"/>
      <c r="E939" s="14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6"/>
      <c r="D940" s="6"/>
      <c r="E940" s="14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6"/>
      <c r="D941" s="6"/>
      <c r="E941" s="14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6"/>
      <c r="D942" s="6"/>
      <c r="E942" s="14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6"/>
      <c r="D943" s="6"/>
      <c r="E943" s="14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6"/>
      <c r="D944" s="6"/>
      <c r="E944" s="14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6"/>
      <c r="D945" s="6"/>
      <c r="E945" s="14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6"/>
      <c r="D946" s="6"/>
      <c r="E946" s="14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6"/>
      <c r="D947" s="6"/>
      <c r="E947" s="14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6"/>
      <c r="D948" s="6"/>
      <c r="E948" s="14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6"/>
      <c r="D949" s="6"/>
      <c r="E949" s="14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6"/>
      <c r="D950" s="6"/>
      <c r="E950" s="14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6"/>
      <c r="D951" s="6"/>
      <c r="E951" s="14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6"/>
      <c r="D952" s="6"/>
      <c r="E952" s="14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6"/>
      <c r="D953" s="6"/>
      <c r="E953" s="14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6"/>
      <c r="D954" s="6"/>
      <c r="E954" s="14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6"/>
      <c r="D955" s="6"/>
      <c r="E955" s="14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6"/>
      <c r="D956" s="6"/>
      <c r="E956" s="14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6"/>
      <c r="D957" s="6"/>
      <c r="E957" s="14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6"/>
      <c r="D958" s="6"/>
      <c r="E958" s="14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6"/>
      <c r="D959" s="6"/>
      <c r="E959" s="14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6"/>
      <c r="D960" s="6"/>
      <c r="E960" s="14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6"/>
      <c r="D961" s="6"/>
      <c r="E961" s="14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6"/>
      <c r="D962" s="6"/>
      <c r="E962" s="14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6"/>
      <c r="D963" s="6"/>
      <c r="E963" s="14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6"/>
      <c r="D964" s="6"/>
      <c r="E964" s="14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6"/>
      <c r="D965" s="6"/>
      <c r="E965" s="14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6"/>
      <c r="D966" s="6"/>
      <c r="E966" s="14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6"/>
      <c r="D967" s="6"/>
      <c r="E967" s="14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6"/>
      <c r="D968" s="6"/>
      <c r="E968" s="14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6"/>
      <c r="D969" s="6"/>
      <c r="E969" s="14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6"/>
      <c r="D970" s="6"/>
      <c r="E970" s="14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6"/>
      <c r="D971" s="6"/>
      <c r="E971" s="14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6"/>
      <c r="D972" s="6"/>
      <c r="E972" s="14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6"/>
      <c r="D973" s="6"/>
      <c r="E973" s="14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6"/>
      <c r="D974" s="6"/>
      <c r="E974" s="14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6"/>
      <c r="D975" s="6"/>
      <c r="E975" s="14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6"/>
      <c r="D976" s="6"/>
      <c r="E976" s="14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6"/>
      <c r="D977" s="6"/>
      <c r="E977" s="14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6"/>
      <c r="D978" s="6"/>
      <c r="E978" s="14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6"/>
      <c r="D979" s="6"/>
      <c r="E979" s="14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6"/>
      <c r="D980" s="6"/>
      <c r="E980" s="14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6"/>
      <c r="D981" s="6"/>
      <c r="E981" s="14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6"/>
      <c r="D982" s="6"/>
      <c r="E982" s="14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6"/>
      <c r="D983" s="6"/>
      <c r="E983" s="14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6"/>
      <c r="D984" s="6"/>
      <c r="E984" s="14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6"/>
      <c r="D985" s="6"/>
      <c r="E985" s="14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6"/>
      <c r="D986" s="6"/>
      <c r="E986" s="14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6"/>
      <c r="D987" s="6"/>
      <c r="E987" s="14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6"/>
      <c r="D988" s="6"/>
      <c r="E988" s="14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6"/>
      <c r="D989" s="6"/>
      <c r="E989" s="14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6"/>
      <c r="D990" s="6"/>
      <c r="E990" s="14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6"/>
      <c r="D991" s="6"/>
      <c r="E991" s="14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6"/>
      <c r="D992" s="6"/>
      <c r="E992" s="14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6"/>
      <c r="D993" s="6"/>
      <c r="E993" s="14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6"/>
      <c r="D994" s="6"/>
      <c r="E994" s="14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6"/>
      <c r="D995" s="6"/>
      <c r="E995" s="14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6"/>
      <c r="D996" s="6"/>
      <c r="E996" s="14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6"/>
      <c r="D997" s="6"/>
      <c r="E997" s="14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6"/>
      <c r="D998" s="6"/>
      <c r="E998" s="14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6"/>
      <c r="D999" s="6"/>
      <c r="E999" s="14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6"/>
      <c r="D1000" s="6"/>
      <c r="E1000" s="14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 x14ac:dyDescent="0.25">
      <c r="A1001" s="2"/>
      <c r="B1001" s="2"/>
      <c r="C1001" s="6"/>
      <c r="D1001" s="6"/>
      <c r="E1001" s="14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 x14ac:dyDescent="0.25">
      <c r="A1002" s="2"/>
      <c r="B1002" s="2"/>
      <c r="C1002" s="6"/>
      <c r="D1002" s="6"/>
      <c r="E1002" s="14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customHeight="1" x14ac:dyDescent="0.25">
      <c r="A1003" s="2"/>
      <c r="B1003" s="2"/>
      <c r="C1003" s="6"/>
      <c r="D1003" s="6"/>
      <c r="E1003" s="14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customHeight="1" x14ac:dyDescent="0.25">
      <c r="A1004" s="2"/>
      <c r="B1004" s="2"/>
      <c r="C1004" s="6"/>
      <c r="D1004" s="6"/>
      <c r="E1004" s="14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customHeight="1" x14ac:dyDescent="0.25">
      <c r="A1005" s="2"/>
      <c r="B1005" s="2"/>
      <c r="C1005" s="6"/>
      <c r="D1005" s="6"/>
      <c r="E1005" s="14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 customHeight="1" x14ac:dyDescent="0.25">
      <c r="A1006" s="2"/>
      <c r="B1006" s="2"/>
      <c r="C1006" s="6"/>
      <c r="D1006" s="6"/>
      <c r="E1006" s="14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2.75" customHeight="1" x14ac:dyDescent="0.25">
      <c r="A1007" s="2"/>
      <c r="B1007" s="2"/>
      <c r="C1007" s="6"/>
      <c r="D1007" s="6"/>
      <c r="E1007" s="14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2.75" customHeight="1" x14ac:dyDescent="0.25">
      <c r="A1008" s="2"/>
      <c r="B1008" s="2"/>
      <c r="C1008" s="6"/>
      <c r="D1008" s="6"/>
      <c r="E1008" s="14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2.75" customHeight="1" x14ac:dyDescent="0.25">
      <c r="A1009" s="2"/>
      <c r="B1009" s="2"/>
      <c r="C1009" s="6"/>
      <c r="D1009" s="6"/>
      <c r="E1009" s="14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2.75" customHeight="1" x14ac:dyDescent="0.25">
      <c r="A1010" s="2"/>
      <c r="B1010" s="2"/>
      <c r="C1010" s="6"/>
      <c r="D1010" s="6"/>
      <c r="E1010" s="14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2.75" customHeight="1" x14ac:dyDescent="0.25">
      <c r="A1011" s="2"/>
      <c r="B1011" s="2"/>
      <c r="C1011" s="6"/>
      <c r="D1011" s="6"/>
      <c r="E1011" s="14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2.75" customHeight="1" x14ac:dyDescent="0.25">
      <c r="A1012" s="2"/>
      <c r="B1012" s="2"/>
      <c r="C1012" s="6"/>
      <c r="D1012" s="6"/>
      <c r="E1012" s="14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2.75" customHeight="1" x14ac:dyDescent="0.25">
      <c r="A1013" s="2"/>
      <c r="B1013" s="2"/>
      <c r="C1013" s="6"/>
      <c r="D1013" s="6"/>
      <c r="E1013" s="14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2.75" customHeight="1" x14ac:dyDescent="0.25">
      <c r="A1014" s="2"/>
      <c r="B1014" s="2"/>
      <c r="C1014" s="6"/>
      <c r="D1014" s="6"/>
      <c r="E1014" s="14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2.75" customHeight="1" x14ac:dyDescent="0.25">
      <c r="A1015" s="2"/>
      <c r="B1015" s="2"/>
      <c r="C1015" s="6"/>
      <c r="D1015" s="6"/>
      <c r="E1015" s="14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2.75" customHeight="1" x14ac:dyDescent="0.25">
      <c r="A1016" s="2"/>
      <c r="B1016" s="2"/>
      <c r="C1016" s="6"/>
      <c r="D1016" s="6"/>
      <c r="E1016" s="14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2.75" customHeight="1" x14ac:dyDescent="0.25">
      <c r="A1017" s="2"/>
      <c r="B1017" s="2"/>
      <c r="C1017" s="6"/>
      <c r="D1017" s="6"/>
      <c r="E1017" s="14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2.75" customHeight="1" x14ac:dyDescent="0.25">
      <c r="A1018" s="2"/>
      <c r="B1018" s="2"/>
      <c r="C1018" s="6"/>
      <c r="D1018" s="6"/>
      <c r="E1018" s="14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2.75" customHeight="1" x14ac:dyDescent="0.25">
      <c r="A1019" s="2"/>
      <c r="B1019" s="2"/>
      <c r="C1019" s="6"/>
      <c r="D1019" s="6"/>
      <c r="E1019" s="14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2.75" customHeight="1" x14ac:dyDescent="0.25">
      <c r="A1020" s="2"/>
      <c r="B1020" s="2"/>
      <c r="C1020" s="6"/>
      <c r="D1020" s="6"/>
      <c r="E1020" s="14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2.75" customHeight="1" x14ac:dyDescent="0.25">
      <c r="A1021" s="2"/>
      <c r="B1021" s="2"/>
      <c r="C1021" s="6"/>
      <c r="D1021" s="6"/>
      <c r="E1021" s="14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2.75" customHeight="1" x14ac:dyDescent="0.25">
      <c r="A1022" s="2"/>
      <c r="B1022" s="2"/>
      <c r="C1022" s="6"/>
      <c r="D1022" s="6"/>
      <c r="E1022" s="14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2.75" customHeight="1" x14ac:dyDescent="0.25">
      <c r="A1023" s="2"/>
      <c r="B1023" s="2"/>
      <c r="C1023" s="6"/>
      <c r="D1023" s="6"/>
      <c r="E1023" s="14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2.75" customHeight="1" x14ac:dyDescent="0.25">
      <c r="A1024" s="2"/>
      <c r="B1024" s="2"/>
      <c r="C1024" s="6"/>
      <c r="D1024" s="6"/>
      <c r="E1024" s="14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2.75" customHeight="1" x14ac:dyDescent="0.25">
      <c r="A1025" s="2"/>
      <c r="B1025" s="2"/>
      <c r="C1025" s="6"/>
      <c r="D1025" s="6"/>
      <c r="E1025" s="14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2.75" customHeight="1" x14ac:dyDescent="0.25">
      <c r="A1026" s="2"/>
      <c r="B1026" s="2"/>
      <c r="C1026" s="6"/>
      <c r="D1026" s="6"/>
      <c r="E1026" s="14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2.75" customHeight="1" x14ac:dyDescent="0.25">
      <c r="A1027" s="2"/>
      <c r="B1027" s="2"/>
      <c r="C1027" s="6"/>
      <c r="D1027" s="6"/>
      <c r="E1027" s="14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2.75" customHeight="1" x14ac:dyDescent="0.25">
      <c r="E1028" s="14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</sheetData>
  <autoFilter ref="A5:E94" xr:uid="{00000000-0009-0000-0000-000001000000}"/>
  <mergeCells count="2">
    <mergeCell ref="A1:E1"/>
    <mergeCell ref="D2:E2"/>
  </mergeCell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AC00-E05C-4966-91A8-CC666B80BA1B}">
  <sheetPr>
    <tabColor rgb="FF00B0F0"/>
  </sheetPr>
  <dimension ref="A2:F23"/>
  <sheetViews>
    <sheetView workbookViewId="0">
      <selection activeCell="B20" sqref="B20"/>
    </sheetView>
  </sheetViews>
  <sheetFormatPr baseColWidth="10" defaultRowHeight="15" x14ac:dyDescent="0.25"/>
  <cols>
    <col min="1" max="1" width="19.42578125" customWidth="1"/>
    <col min="2" max="2" width="76.5703125" customWidth="1"/>
    <col min="4" max="4" width="12.7109375" customWidth="1"/>
    <col min="5" max="5" width="14.7109375" customWidth="1"/>
  </cols>
  <sheetData>
    <row r="2" spans="1:6" ht="15.75" thickBot="1" x14ac:dyDescent="0.3"/>
    <row r="3" spans="1:6" ht="31.5" customHeight="1" thickBot="1" x14ac:dyDescent="0.3">
      <c r="A3" s="313" t="s">
        <v>0</v>
      </c>
      <c r="B3" s="314"/>
      <c r="C3" s="314"/>
      <c r="D3" s="315"/>
      <c r="E3" s="316"/>
    </row>
    <row r="4" spans="1:6" x14ac:dyDescent="0.25">
      <c r="A4" s="171"/>
      <c r="B4" s="157"/>
      <c r="C4" s="158"/>
      <c r="D4" s="311" t="s">
        <v>66</v>
      </c>
      <c r="E4" s="312"/>
    </row>
    <row r="5" spans="1:6" x14ac:dyDescent="0.25">
      <c r="A5" s="57" t="s">
        <v>15</v>
      </c>
      <c r="B5" s="159"/>
      <c r="C5" s="160"/>
      <c r="D5" s="161" t="s">
        <v>3</v>
      </c>
      <c r="E5" s="172">
        <v>58524.459999999992</v>
      </c>
    </row>
    <row r="6" spans="1:6" ht="15.75" thickBot="1" x14ac:dyDescent="0.3">
      <c r="A6" s="59" t="s">
        <v>4</v>
      </c>
      <c r="B6" s="60"/>
      <c r="C6" s="61"/>
      <c r="D6" s="62" t="s">
        <v>5</v>
      </c>
      <c r="E6" s="63">
        <f>+E18</f>
        <v>58524.459999999992</v>
      </c>
    </row>
    <row r="7" spans="1:6" ht="15.75" thickBot="1" x14ac:dyDescent="0.3">
      <c r="A7" s="165" t="s">
        <v>6</v>
      </c>
      <c r="B7" s="165" t="s">
        <v>7</v>
      </c>
      <c r="C7" s="166" t="s">
        <v>8</v>
      </c>
      <c r="D7" s="167" t="s">
        <v>9</v>
      </c>
      <c r="E7" s="166" t="s">
        <v>10</v>
      </c>
    </row>
    <row r="8" spans="1:6" ht="15.75" thickTop="1" x14ac:dyDescent="0.25">
      <c r="A8" s="51"/>
      <c r="C8" s="169"/>
      <c r="D8" s="169"/>
      <c r="E8" s="46">
        <f>+E5-C8+D8</f>
        <v>58524.459999999992</v>
      </c>
    </row>
    <row r="9" spans="1:6" x14ac:dyDescent="0.25">
      <c r="A9" s="51"/>
      <c r="C9" s="169"/>
      <c r="D9" s="170"/>
      <c r="E9" s="46">
        <f>+E8-C9+D9</f>
        <v>58524.459999999992</v>
      </c>
      <c r="F9" s="155"/>
    </row>
    <row r="10" spans="1:6" x14ac:dyDescent="0.25">
      <c r="A10" s="51"/>
      <c r="C10" s="169"/>
      <c r="D10" s="170"/>
      <c r="E10" s="46">
        <f t="shared" ref="E10:E23" si="0">+E9-C10+D10</f>
        <v>58524.459999999992</v>
      </c>
      <c r="F10" s="168"/>
    </row>
    <row r="11" spans="1:6" x14ac:dyDescent="0.25">
      <c r="A11" s="51"/>
      <c r="C11" s="169"/>
      <c r="D11" s="169"/>
      <c r="E11" s="46">
        <f t="shared" si="0"/>
        <v>58524.459999999992</v>
      </c>
      <c r="F11" s="155"/>
    </row>
    <row r="12" spans="1:6" x14ac:dyDescent="0.25">
      <c r="A12" s="51"/>
      <c r="C12" s="169"/>
      <c r="D12" s="170"/>
      <c r="E12" s="46">
        <f t="shared" si="0"/>
        <v>58524.459999999992</v>
      </c>
    </row>
    <row r="13" spans="1:6" x14ac:dyDescent="0.25">
      <c r="A13" s="51"/>
      <c r="C13" s="169"/>
      <c r="D13" s="170"/>
      <c r="E13" s="46">
        <f t="shared" si="0"/>
        <v>58524.459999999992</v>
      </c>
      <c r="F13" s="155"/>
    </row>
    <row r="14" spans="1:6" x14ac:dyDescent="0.25">
      <c r="A14" s="51"/>
      <c r="C14" s="169"/>
      <c r="D14" s="170"/>
      <c r="E14" s="46">
        <f t="shared" si="0"/>
        <v>58524.459999999992</v>
      </c>
    </row>
    <row r="15" spans="1:6" x14ac:dyDescent="0.25">
      <c r="A15" s="51"/>
      <c r="C15" s="169"/>
      <c r="D15" s="170"/>
      <c r="E15" s="46">
        <f t="shared" si="0"/>
        <v>58524.459999999992</v>
      </c>
    </row>
    <row r="16" spans="1:6" x14ac:dyDescent="0.25">
      <c r="A16" s="51"/>
      <c r="C16" s="169"/>
      <c r="D16" s="170"/>
      <c r="E16" s="46">
        <f t="shared" si="0"/>
        <v>58524.459999999992</v>
      </c>
    </row>
    <row r="17" spans="1:5" x14ac:dyDescent="0.25">
      <c r="A17" s="51"/>
      <c r="C17" s="169"/>
      <c r="D17" s="170"/>
      <c r="E17" s="46">
        <f t="shared" si="0"/>
        <v>58524.459999999992</v>
      </c>
    </row>
    <row r="18" spans="1:5" x14ac:dyDescent="0.25">
      <c r="C18" s="170"/>
      <c r="D18" s="170"/>
      <c r="E18" s="46">
        <f t="shared" si="0"/>
        <v>58524.459999999992</v>
      </c>
    </row>
    <row r="19" spans="1:5" x14ac:dyDescent="0.25">
      <c r="E19" s="46">
        <f t="shared" si="0"/>
        <v>58524.459999999992</v>
      </c>
    </row>
    <row r="20" spans="1:5" x14ac:dyDescent="0.25">
      <c r="E20" s="46">
        <f t="shared" si="0"/>
        <v>58524.459999999992</v>
      </c>
    </row>
    <row r="21" spans="1:5" x14ac:dyDescent="0.25">
      <c r="E21" s="46">
        <f t="shared" si="0"/>
        <v>58524.459999999992</v>
      </c>
    </row>
    <row r="22" spans="1:5" x14ac:dyDescent="0.25">
      <c r="E22" s="46">
        <f t="shared" si="0"/>
        <v>58524.459999999992</v>
      </c>
    </row>
    <row r="23" spans="1:5" x14ac:dyDescent="0.25">
      <c r="E23" s="46">
        <f t="shared" si="0"/>
        <v>58524.459999999992</v>
      </c>
    </row>
  </sheetData>
  <mergeCells count="2">
    <mergeCell ref="A3:E3"/>
    <mergeCell ref="D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tabColor theme="0" tint="-0.14999847407452621"/>
  </sheetPr>
  <dimension ref="A6:Z1000"/>
  <sheetViews>
    <sheetView topLeftCell="A13" workbookViewId="0">
      <selection activeCell="B41" sqref="B41"/>
    </sheetView>
  </sheetViews>
  <sheetFormatPr baseColWidth="10" defaultColWidth="14.42578125" defaultRowHeight="15" customHeight="1" x14ac:dyDescent="0.25"/>
  <cols>
    <col min="1" max="1" width="10.7109375" customWidth="1"/>
    <col min="2" max="2" width="103.28515625" customWidth="1"/>
    <col min="3" max="3" width="17.42578125" customWidth="1"/>
    <col min="4" max="4" width="17.85546875" customWidth="1"/>
    <col min="5" max="5" width="14.140625" customWidth="1"/>
    <col min="6" max="8" width="10.7109375" customWidth="1"/>
    <col min="9" max="9" width="6.42578125" customWidth="1"/>
    <col min="10" max="26" width="10.7109375" customWidth="1"/>
  </cols>
  <sheetData>
    <row r="6" spans="1:26" x14ac:dyDescent="0.25">
      <c r="D6" s="318" t="s">
        <v>21</v>
      </c>
      <c r="E6" s="319"/>
      <c r="F6" s="318" t="s">
        <v>22</v>
      </c>
      <c r="G6" s="320"/>
      <c r="H6" s="319"/>
    </row>
    <row r="7" spans="1:26" x14ac:dyDescent="0.25">
      <c r="A7" s="14" t="s">
        <v>23</v>
      </c>
    </row>
    <row r="8" spans="1:26" ht="45" x14ac:dyDescent="0.25">
      <c r="A8" s="15" t="s">
        <v>24</v>
      </c>
      <c r="B8" s="15" t="s">
        <v>25</v>
      </c>
      <c r="C8" s="15" t="s">
        <v>11</v>
      </c>
      <c r="D8" s="16" t="s">
        <v>26</v>
      </c>
      <c r="E8" s="17" t="s">
        <v>27</v>
      </c>
      <c r="F8" s="18" t="s">
        <v>28</v>
      </c>
      <c r="G8" s="19" t="s">
        <v>29</v>
      </c>
      <c r="H8" s="15" t="s">
        <v>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5">
      <c r="A9" s="3">
        <v>45744</v>
      </c>
      <c r="B9" s="4" t="s">
        <v>31</v>
      </c>
      <c r="C9" s="20">
        <v>8514</v>
      </c>
      <c r="D9" s="1"/>
      <c r="E9" s="7">
        <f>+C9-D9</f>
        <v>8514</v>
      </c>
      <c r="F9" s="21">
        <v>0</v>
      </c>
      <c r="G9" s="7">
        <v>8514</v>
      </c>
      <c r="H9" s="8">
        <f t="shared" ref="H9:H17" si="0">+E9-F9-G9</f>
        <v>0</v>
      </c>
      <c r="I9" s="4" t="s">
        <v>32</v>
      </c>
    </row>
    <row r="10" spans="1:26" x14ac:dyDescent="0.25">
      <c r="A10" s="3">
        <v>45744</v>
      </c>
      <c r="B10" s="4" t="s">
        <v>33</v>
      </c>
      <c r="C10" s="20">
        <v>1280</v>
      </c>
      <c r="D10" s="1"/>
      <c r="E10" s="7">
        <v>1280</v>
      </c>
      <c r="F10" s="4">
        <v>0</v>
      </c>
      <c r="G10" s="7">
        <v>1280</v>
      </c>
      <c r="H10" s="8">
        <f t="shared" si="0"/>
        <v>0</v>
      </c>
      <c r="I10" s="4" t="s">
        <v>32</v>
      </c>
    </row>
    <row r="11" spans="1:26" x14ac:dyDescent="0.25">
      <c r="A11" s="3">
        <v>45744</v>
      </c>
      <c r="B11" s="4" t="s">
        <v>34</v>
      </c>
      <c r="C11" s="20">
        <v>5976.5</v>
      </c>
      <c r="D11" s="1"/>
      <c r="E11" s="7">
        <v>5976.5</v>
      </c>
      <c r="F11" s="4">
        <v>0</v>
      </c>
      <c r="G11" s="7">
        <v>5976.5</v>
      </c>
      <c r="H11" s="8">
        <f t="shared" si="0"/>
        <v>0</v>
      </c>
      <c r="I11" s="4" t="s">
        <v>32</v>
      </c>
    </row>
    <row r="12" spans="1:26" x14ac:dyDescent="0.25">
      <c r="A12" s="3">
        <v>45744</v>
      </c>
      <c r="B12" s="4" t="s">
        <v>35</v>
      </c>
      <c r="C12" s="20">
        <v>5500</v>
      </c>
      <c r="D12" s="1"/>
      <c r="E12" s="7">
        <v>5500</v>
      </c>
      <c r="F12" s="21">
        <v>5500</v>
      </c>
      <c r="H12" s="8">
        <f t="shared" si="0"/>
        <v>0</v>
      </c>
      <c r="I12" s="4" t="s">
        <v>32</v>
      </c>
    </row>
    <row r="13" spans="1:26" x14ac:dyDescent="0.25">
      <c r="A13" s="3">
        <v>45744</v>
      </c>
      <c r="B13" s="4" t="s">
        <v>36</v>
      </c>
      <c r="C13" s="20">
        <v>11160</v>
      </c>
      <c r="D13" s="1"/>
      <c r="E13" s="7">
        <v>11160</v>
      </c>
      <c r="F13" s="21">
        <v>11160</v>
      </c>
      <c r="H13" s="8">
        <f t="shared" si="0"/>
        <v>0</v>
      </c>
      <c r="I13" s="4" t="s">
        <v>32</v>
      </c>
    </row>
    <row r="14" spans="1:26" x14ac:dyDescent="0.25">
      <c r="A14" s="3">
        <v>45744</v>
      </c>
      <c r="B14" s="4" t="s">
        <v>37</v>
      </c>
      <c r="C14" s="20">
        <v>2100</v>
      </c>
      <c r="D14" s="1"/>
      <c r="E14" s="7">
        <v>2100</v>
      </c>
      <c r="F14" s="4">
        <v>0</v>
      </c>
      <c r="G14" s="7">
        <v>2100</v>
      </c>
      <c r="H14" s="8">
        <f t="shared" si="0"/>
        <v>0</v>
      </c>
      <c r="I14" s="4" t="s">
        <v>32</v>
      </c>
    </row>
    <row r="15" spans="1:26" x14ac:dyDescent="0.25">
      <c r="A15" s="3">
        <v>45744</v>
      </c>
      <c r="B15" s="4" t="s">
        <v>38</v>
      </c>
      <c r="C15" s="20">
        <v>16636.88</v>
      </c>
      <c r="D15" s="1"/>
      <c r="E15" s="7">
        <v>16636.88</v>
      </c>
      <c r="F15" s="4">
        <v>0</v>
      </c>
      <c r="G15" s="7">
        <v>16636.88</v>
      </c>
      <c r="H15" s="8">
        <f t="shared" si="0"/>
        <v>0</v>
      </c>
      <c r="I15" s="4" t="s">
        <v>32</v>
      </c>
    </row>
    <row r="16" spans="1:26" x14ac:dyDescent="0.25">
      <c r="A16" s="3">
        <v>45744</v>
      </c>
      <c r="B16" s="4" t="s">
        <v>39</v>
      </c>
      <c r="C16" s="20">
        <v>2605</v>
      </c>
      <c r="D16" s="1"/>
      <c r="E16" s="7">
        <v>2605</v>
      </c>
      <c r="F16" s="4">
        <v>0</v>
      </c>
      <c r="G16" s="7">
        <v>2605</v>
      </c>
      <c r="H16" s="8">
        <f t="shared" si="0"/>
        <v>0</v>
      </c>
      <c r="I16" s="4" t="s">
        <v>32</v>
      </c>
    </row>
    <row r="17" spans="1:9" x14ac:dyDescent="0.25">
      <c r="A17" s="3">
        <v>45744</v>
      </c>
      <c r="B17" s="4" t="s">
        <v>40</v>
      </c>
      <c r="C17" s="20">
        <v>1911.86</v>
      </c>
      <c r="D17" s="1"/>
      <c r="E17" s="7">
        <v>1911.86</v>
      </c>
      <c r="F17" s="21">
        <f>1751.52+160.34</f>
        <v>1911.86</v>
      </c>
      <c r="G17" s="1"/>
      <c r="H17" s="8">
        <f t="shared" si="0"/>
        <v>0</v>
      </c>
      <c r="I17" s="4" t="s">
        <v>32</v>
      </c>
    </row>
    <row r="18" spans="1:9" x14ac:dyDescent="0.25">
      <c r="A18" s="3">
        <v>45744</v>
      </c>
      <c r="B18" s="4" t="s">
        <v>41</v>
      </c>
      <c r="C18" s="20">
        <v>7424</v>
      </c>
      <c r="D18" s="1"/>
      <c r="E18" s="7">
        <v>7424</v>
      </c>
      <c r="F18" s="4">
        <v>0</v>
      </c>
      <c r="H18" s="20">
        <f t="shared" ref="H18:H20" si="1">+E18-F18</f>
        <v>7424</v>
      </c>
    </row>
    <row r="19" spans="1:9" x14ac:dyDescent="0.25">
      <c r="A19" s="3">
        <v>45744</v>
      </c>
      <c r="B19" s="9" t="s">
        <v>42</v>
      </c>
      <c r="C19" s="13">
        <v>1869.6</v>
      </c>
      <c r="D19" s="5">
        <v>1254.5999999999999</v>
      </c>
      <c r="E19" s="7">
        <v>615</v>
      </c>
      <c r="F19" s="21">
        <v>615</v>
      </c>
      <c r="G19" s="1"/>
      <c r="H19" s="8">
        <f t="shared" si="1"/>
        <v>0</v>
      </c>
      <c r="I19" s="4" t="s">
        <v>32</v>
      </c>
    </row>
    <row r="20" spans="1:9" x14ac:dyDescent="0.25">
      <c r="A20" s="3">
        <v>45744</v>
      </c>
      <c r="B20" s="22" t="s">
        <v>43</v>
      </c>
      <c r="C20" s="23">
        <v>38899</v>
      </c>
      <c r="D20" s="5">
        <v>34710</v>
      </c>
      <c r="E20" s="7">
        <f t="shared" ref="E20:E21" si="2">+C20-D20</f>
        <v>4189</v>
      </c>
      <c r="F20" s="21">
        <v>4189</v>
      </c>
      <c r="G20" s="1"/>
      <c r="H20" s="8">
        <f t="shared" si="1"/>
        <v>0</v>
      </c>
      <c r="I20" s="4" t="s">
        <v>32</v>
      </c>
    </row>
    <row r="21" spans="1:9" ht="15.75" customHeight="1" x14ac:dyDescent="0.25">
      <c r="A21" s="3">
        <v>45744</v>
      </c>
      <c r="B21" s="22" t="s">
        <v>44</v>
      </c>
      <c r="C21" s="23">
        <v>480.48</v>
      </c>
      <c r="D21" s="5">
        <f>160.16*2</f>
        <v>320.32</v>
      </c>
      <c r="E21" s="7">
        <f t="shared" si="2"/>
        <v>160.16000000000003</v>
      </c>
      <c r="F21" s="21">
        <v>160.16</v>
      </c>
      <c r="G21" s="1"/>
      <c r="H21" s="8">
        <f t="shared" ref="H21:H22" si="3">+E21-F21-G21</f>
        <v>2.8421709430404007E-14</v>
      </c>
      <c r="I21" s="4" t="s">
        <v>32</v>
      </c>
    </row>
    <row r="22" spans="1:9" ht="15.75" customHeight="1" x14ac:dyDescent="0.25">
      <c r="A22" s="3">
        <v>45744</v>
      </c>
      <c r="B22" s="4" t="s">
        <v>45</v>
      </c>
      <c r="C22" s="20">
        <v>3440</v>
      </c>
      <c r="D22" s="1"/>
      <c r="E22" s="7">
        <v>3440</v>
      </c>
      <c r="F22" s="4">
        <v>0</v>
      </c>
      <c r="G22" s="7">
        <v>3440</v>
      </c>
      <c r="H22" s="8">
        <f t="shared" si="3"/>
        <v>0</v>
      </c>
      <c r="I22" s="4" t="s">
        <v>32</v>
      </c>
    </row>
    <row r="23" spans="1:9" ht="15.75" customHeight="1" x14ac:dyDescent="0.25">
      <c r="C23" s="8"/>
      <c r="G23" s="1"/>
    </row>
    <row r="24" spans="1:9" ht="15.75" customHeight="1" x14ac:dyDescent="0.25">
      <c r="B24" s="321" t="s">
        <v>46</v>
      </c>
      <c r="C24" s="317"/>
      <c r="D24" s="24"/>
      <c r="E24" s="25">
        <f>+SUM(E9:E18,E22)</f>
        <v>66548.240000000005</v>
      </c>
      <c r="G24" s="1"/>
      <c r="H24" s="8">
        <f>SUM(H9:H23)</f>
        <v>7424</v>
      </c>
    </row>
    <row r="25" spans="1:9" ht="15.75" customHeight="1" x14ac:dyDescent="0.25"/>
    <row r="26" spans="1:9" ht="15.75" customHeight="1" x14ac:dyDescent="0.25"/>
    <row r="27" spans="1:9" ht="15.75" customHeight="1" x14ac:dyDescent="0.25">
      <c r="C27" s="10"/>
    </row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spans="1:5" ht="15.75" customHeight="1" x14ac:dyDescent="0.25">
      <c r="A33" s="4" t="s">
        <v>47</v>
      </c>
    </row>
    <row r="34" spans="1:5" ht="15.75" customHeight="1" x14ac:dyDescent="0.35">
      <c r="A34" s="26" t="s">
        <v>48</v>
      </c>
    </row>
    <row r="35" spans="1:5" ht="15.75" customHeight="1" x14ac:dyDescent="0.25">
      <c r="A35" s="15" t="s">
        <v>24</v>
      </c>
      <c r="B35" s="15" t="s">
        <v>25</v>
      </c>
      <c r="C35" s="15" t="s">
        <v>11</v>
      </c>
      <c r="D35" s="27" t="s">
        <v>30</v>
      </c>
    </row>
    <row r="36" spans="1:5" ht="15.75" customHeight="1" x14ac:dyDescent="0.25">
      <c r="A36" s="3">
        <v>45744</v>
      </c>
      <c r="B36" s="4" t="s">
        <v>41</v>
      </c>
      <c r="C36" s="20">
        <v>7424</v>
      </c>
      <c r="D36" s="28">
        <v>7424</v>
      </c>
      <c r="E36" s="33" t="s">
        <v>49</v>
      </c>
    </row>
    <row r="37" spans="1:5" ht="15.75" customHeight="1" x14ac:dyDescent="0.3">
      <c r="D37" s="29">
        <f>SUM(D36)</f>
        <v>7424</v>
      </c>
    </row>
    <row r="38" spans="1:5" ht="15.75" customHeight="1" x14ac:dyDescent="0.25"/>
    <row r="39" spans="1:5" ht="15.75" customHeight="1" x14ac:dyDescent="0.25"/>
    <row r="40" spans="1:5" ht="45.75" customHeight="1" x14ac:dyDescent="0.5">
      <c r="C40" s="34" t="s">
        <v>50</v>
      </c>
    </row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D6:E6"/>
    <mergeCell ref="F6:H6"/>
    <mergeCell ref="B24:C2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Banregio F</vt:lpstr>
      <vt:lpstr>Banregio T </vt:lpstr>
      <vt:lpstr>BANREGIO GTS</vt:lpstr>
      <vt:lpstr>BANREGIO TDC</vt:lpstr>
      <vt:lpstr>SALDOS A FAVOR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Salma Vazquez</cp:lastModifiedBy>
  <cp:lastPrinted>2025-09-02T21:18:20Z</cp:lastPrinted>
  <dcterms:created xsi:type="dcterms:W3CDTF">2021-10-09T00:12:06Z</dcterms:created>
  <dcterms:modified xsi:type="dcterms:W3CDTF">2026-02-16T23:56:04Z</dcterms:modified>
</cp:coreProperties>
</file>