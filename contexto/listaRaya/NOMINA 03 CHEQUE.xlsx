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heckCompatibility="1"/>
  <mc:AlternateContent xmlns:mc="http://schemas.openxmlformats.org/markup-compatibility/2006">
    <mc:Choice Requires="x15">
      <x15ac:absPath xmlns:x15ac="http://schemas.microsoft.com/office/spreadsheetml/2010/11/ac" url="D:\contabilidad\USB\CONTABILIDAD\Nominas ECM &amp; DCM\NOMINA 2026\DCM\"/>
    </mc:Choice>
  </mc:AlternateContent>
  <xr:revisionPtr revIDLastSave="0" documentId="13_ncr:1_{BD02B6D1-48DB-4A45-A5FD-0EEE010391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M 03" sheetId="7" r:id="rId1"/>
    <sheet name="DISPERCION" sheetId="4" r:id="rId2"/>
    <sheet name="CHEQUE" sheetId="5" r:id="rId3"/>
    <sheet name="CHEQUE FINIQUITOS" sheetId="8" r:id="rId4"/>
  </sheets>
  <definedNames>
    <definedName name="_xlnm._FilterDatabase" localSheetId="0" hidden="1">'NOM 03'!$A$1:$A$140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4" l="1"/>
  <c r="J73" i="7"/>
  <c r="J18" i="5"/>
  <c r="J75" i="7" s="1"/>
  <c r="D57" i="4"/>
  <c r="J74" i="7" s="1"/>
  <c r="G57" i="4"/>
  <c r="G54" i="4"/>
  <c r="G55" i="4"/>
  <c r="G56" i="4"/>
  <c r="G50" i="4"/>
  <c r="G51" i="4"/>
  <c r="G52" i="4"/>
  <c r="G53" i="4"/>
  <c r="G41" i="4"/>
  <c r="G42" i="4"/>
  <c r="G43" i="4"/>
  <c r="G44" i="4"/>
  <c r="G45" i="4"/>
  <c r="G46" i="4"/>
  <c r="G47" i="4"/>
  <c r="G48" i="4"/>
  <c r="G49" i="4"/>
  <c r="G22" i="4"/>
  <c r="G23" i="4"/>
  <c r="G24" i="4"/>
  <c r="G25" i="4"/>
  <c r="G26" i="4"/>
  <c r="G27" i="4"/>
  <c r="G28" i="4"/>
  <c r="G29" i="4"/>
  <c r="G30" i="4"/>
  <c r="G32" i="4"/>
  <c r="G33" i="4"/>
  <c r="G34" i="4"/>
  <c r="G35" i="4"/>
  <c r="G36" i="4"/>
  <c r="G37" i="4"/>
  <c r="G38" i="4"/>
  <c r="G39" i="4"/>
  <c r="G40" i="4"/>
  <c r="G10" i="4"/>
  <c r="G11" i="4"/>
  <c r="G12" i="4"/>
  <c r="G13" i="4"/>
  <c r="G14" i="4"/>
  <c r="G15" i="4"/>
  <c r="G16" i="4"/>
  <c r="G17" i="4"/>
  <c r="G18" i="4"/>
  <c r="G19" i="4"/>
  <c r="G20" i="4"/>
  <c r="G21" i="4"/>
  <c r="C73" i="7"/>
  <c r="D73" i="7"/>
  <c r="E73" i="7"/>
  <c r="F73" i="7"/>
  <c r="G73" i="7"/>
  <c r="H73" i="7"/>
  <c r="I73" i="7"/>
  <c r="K73" i="7"/>
  <c r="L73" i="7"/>
  <c r="M73" i="7"/>
  <c r="N73" i="7"/>
  <c r="O73" i="7"/>
  <c r="G3" i="4"/>
  <c r="G4" i="4"/>
  <c r="G5" i="4"/>
  <c r="G6" i="4"/>
  <c r="G7" i="4"/>
  <c r="G8" i="4"/>
  <c r="G9" i="4"/>
  <c r="G2" i="4"/>
  <c r="K10" i="8"/>
  <c r="L10" i="8"/>
  <c r="M10" i="8"/>
  <c r="J10" i="8"/>
  <c r="C18" i="5"/>
  <c r="D18" i="5"/>
  <c r="E18" i="5"/>
  <c r="F18" i="5"/>
  <c r="G18" i="5"/>
  <c r="H18" i="5"/>
  <c r="I18" i="5"/>
  <c r="J77" i="7" l="1"/>
  <c r="K18" i="5"/>
  <c r="L18" i="5"/>
  <c r="M18" i="5"/>
  <c r="N18" i="5"/>
  <c r="I10" i="8" l="1"/>
  <c r="H10" i="8"/>
  <c r="G10" i="8"/>
  <c r="F10" i="8"/>
  <c r="E10" i="8"/>
  <c r="D10" i="8"/>
  <c r="C10" i="8"/>
  <c r="J78" i="7" l="1"/>
</calcChain>
</file>

<file path=xl/sharedStrings.xml><?xml version="1.0" encoding="utf-8"?>
<sst xmlns="http://schemas.openxmlformats.org/spreadsheetml/2006/main" count="1639" uniqueCount="268">
  <si>
    <t>CONTPAQ i</t>
  </si>
  <si>
    <t xml:space="preserve">     NÓMINAS</t>
  </si>
  <si>
    <t>DISTRIBUIDORA DE CARNES MARIA CRISTINA SA. DE CV</t>
  </si>
  <si>
    <t xml:space="preserve"> </t>
  </si>
  <si>
    <t>Prenómina de Percepciones, Deducciones y Obligaciones</t>
  </si>
  <si>
    <t>Código</t>
  </si>
  <si>
    <t>Empleado</t>
  </si>
  <si>
    <t>Sueldo</t>
  </si>
  <si>
    <t>Séptimo día</t>
  </si>
  <si>
    <t>Préstamo infonavit (FD)</t>
  </si>
  <si>
    <t>Préstamo infonavit (CF)</t>
  </si>
  <si>
    <t>I.M.S.S.</t>
  </si>
  <si>
    <t>I.S.R. (mes)</t>
  </si>
  <si>
    <t>Neto</t>
  </si>
  <si>
    <t>MIRELES CABALLERO JORGE</t>
  </si>
  <si>
    <t>HERNANDEZ ROCHA ELADIO</t>
  </si>
  <si>
    <t>MARTINEZ JUAREZ PERLA IBETH</t>
  </si>
  <si>
    <t>LOPEZ RODRIGUEZ ANGELICA TATIANA</t>
  </si>
  <si>
    <t>GARZA MARTINEZ HOMERO</t>
  </si>
  <si>
    <t>LOPEZ RODRIGUEZ JOSE FRANCISCO</t>
  </si>
  <si>
    <t>ZUÑIGA GONZALEZ JOSE</t>
  </si>
  <si>
    <t>LOPEZ HERNANDEZ SERGIO ROEL</t>
  </si>
  <si>
    <t>RUIZ GALVAN MARICELA ABIGAIL</t>
  </si>
  <si>
    <t>VAZQUEZ RESENDIZ SALMA STEPHANIE</t>
  </si>
  <si>
    <t>ALVAREZ LOPEZ MA. YOLANDA</t>
  </si>
  <si>
    <t>HERNANDEZ RIVERA CALIXTO</t>
  </si>
  <si>
    <t>RAMIREZ MEJORADO ANA LUISA</t>
  </si>
  <si>
    <t>MARTINEZ RAMIREZ LUIS EDUARDO</t>
  </si>
  <si>
    <t>TORRES MENDOZA LUIS FERNANDO</t>
  </si>
  <si>
    <t>VALERO REYNA CLAUDIA PATRICIA</t>
  </si>
  <si>
    <t>GARCIA IGNACIO JOSE</t>
  </si>
  <si>
    <t>GARZA CARDENAS HOMERO</t>
  </si>
  <si>
    <t>CASTRO ALVARADO LUIS</t>
  </si>
  <si>
    <t>JUAREZ GONZALEZ HECTOR</t>
  </si>
  <si>
    <t>PEREZ CASTAÑEDA SAMUEL</t>
  </si>
  <si>
    <t>VAZQUEZ OLVERA JORGE IVAN</t>
  </si>
  <si>
    <t>AGUIRRE TAMEZ IDALIA</t>
  </si>
  <si>
    <t>REYNA GARCIA MAURICIO ANTONIO</t>
  </si>
  <si>
    <t>MARTINEZ PEÑA MARIA PURIFICACION</t>
  </si>
  <si>
    <t>RAMIREZ ROMAN OLEGARIO</t>
  </si>
  <si>
    <t>LOPEZ LOPEZ MIREYA ALEJANDRA</t>
  </si>
  <si>
    <t>NUÑEZ ELIZONDO JUDITH GUADALUPE</t>
  </si>
  <si>
    <t>Total</t>
  </si>
  <si>
    <t>Nómina</t>
  </si>
  <si>
    <t>Cuenta</t>
  </si>
  <si>
    <t>BAJA</t>
  </si>
  <si>
    <t>DISPERSION</t>
  </si>
  <si>
    <t>DIFERENCIA</t>
  </si>
  <si>
    <t>IZQUIERDO SANDOVAL FERNANDO</t>
  </si>
  <si>
    <t>TREVIÑO FLORES MARIA OFELIA</t>
  </si>
  <si>
    <t>ESPARZA ACOSTA GLORIA GUADALUPE</t>
  </si>
  <si>
    <t>VASQUEZ RUIZ RUBEN GILBERTO</t>
  </si>
  <si>
    <t>SEGOVIA MONTES IVETTE AZUCENA</t>
  </si>
  <si>
    <t>SOLIS MARTINEZ IGNACIO</t>
  </si>
  <si>
    <t>Monto</t>
  </si>
  <si>
    <t>055793420012</t>
  </si>
  <si>
    <t>055793400011</t>
  </si>
  <si>
    <t>055793360010</t>
  </si>
  <si>
    <t>055795880011</t>
  </si>
  <si>
    <t>055792480011</t>
  </si>
  <si>
    <t>055793330013</t>
  </si>
  <si>
    <t>055793320018</t>
  </si>
  <si>
    <t>055793310012</t>
  </si>
  <si>
    <t>055793260015</t>
  </si>
  <si>
    <t>055793250010</t>
  </si>
  <si>
    <t>055792660010</t>
  </si>
  <si>
    <t>055793210018</t>
  </si>
  <si>
    <t>055793170016</t>
  </si>
  <si>
    <t>055793150015</t>
  </si>
  <si>
    <t>055793140010</t>
  </si>
  <si>
    <t>055793120019</t>
  </si>
  <si>
    <t>055793110013</t>
  </si>
  <si>
    <t>055793090012</t>
  </si>
  <si>
    <t>055792470016</t>
  </si>
  <si>
    <t>055793040015</t>
  </si>
  <si>
    <t>055792970019</t>
  </si>
  <si>
    <t>055792930017</t>
  </si>
  <si>
    <t>055782630015</t>
  </si>
  <si>
    <t>055781290016</t>
  </si>
  <si>
    <t>055780670010</t>
  </si>
  <si>
    <t>055775680015</t>
  </si>
  <si>
    <t>055768190011</t>
  </si>
  <si>
    <t>055768280010</t>
  </si>
  <si>
    <t>055765480018</t>
  </si>
  <si>
    <t>055765340011</t>
  </si>
  <si>
    <t>GARCIA DEGOLLADO ARACELY ELIZABETH</t>
  </si>
  <si>
    <t>GARCIA DEGOLLADO DANIELA DENISSE</t>
  </si>
  <si>
    <t>SIFUENTES ALCOCER ANAHI</t>
  </si>
  <si>
    <t>VARGAS MONDRAGON DULCE KAREN</t>
  </si>
  <si>
    <t>JIMENEZ HERNANDEZ CECILIA</t>
  </si>
  <si>
    <t>Vacaciones a tiempo</t>
  </si>
  <si>
    <t>Prima de vacaciones a tiempo</t>
  </si>
  <si>
    <t>055775670010</t>
  </si>
  <si>
    <t>055761420011</t>
  </si>
  <si>
    <t>007728820025</t>
  </si>
  <si>
    <t>055761440011</t>
  </si>
  <si>
    <t>055761430016</t>
  </si>
  <si>
    <t>BORGES HERNANDEZ MARISELA DEL CARMEN</t>
  </si>
  <si>
    <t>CARDENAS RIVERA ALTAGRACIA</t>
  </si>
  <si>
    <t>1</t>
  </si>
  <si>
    <t>JORGE MIRELES CABALLERO</t>
  </si>
  <si>
    <t>37</t>
  </si>
  <si>
    <t>ELADIO HERNANDEZ ROCHA</t>
  </si>
  <si>
    <t>71</t>
  </si>
  <si>
    <t>PERLA IBETH MARTINEZ JUAREZ</t>
  </si>
  <si>
    <t>96</t>
  </si>
  <si>
    <t>ANGELICA TATIANA LOPEZ RODRIGUEZ</t>
  </si>
  <si>
    <t>135</t>
  </si>
  <si>
    <t>HOMERO GARZA MARTINEZ</t>
  </si>
  <si>
    <t>167</t>
  </si>
  <si>
    <t>JOSE FRANCISCO LOPEZ RODRIGUEZ</t>
  </si>
  <si>
    <t>179</t>
  </si>
  <si>
    <t>JOSE ZUÑIGA GONZALEZ</t>
  </si>
  <si>
    <t>202</t>
  </si>
  <si>
    <t>FERNANDO IZQUIERDO SANDOVAL</t>
  </si>
  <si>
    <t>363</t>
  </si>
  <si>
    <t>SERGIO ROEL LOPEZ HERNANDEZ</t>
  </si>
  <si>
    <t>370</t>
  </si>
  <si>
    <t>MARICELA ABIGAIL RUIZ GALVAN</t>
  </si>
  <si>
    <t>399</t>
  </si>
  <si>
    <t>SALMA STEPHANIE VAZQUEZ RESENDIZ</t>
  </si>
  <si>
    <t>429</t>
  </si>
  <si>
    <t>MA. YOLANDA ALVAREZ LOPEZ</t>
  </si>
  <si>
    <t>467</t>
  </si>
  <si>
    <t>CALIXTO HERNANDEZ RIVERA</t>
  </si>
  <si>
    <t>478</t>
  </si>
  <si>
    <t>ANA LUISA RAMIREZ MEJORADO</t>
  </si>
  <si>
    <t>487</t>
  </si>
  <si>
    <t>LUIS EDUARDO MARTINEZ RAMIREZ</t>
  </si>
  <si>
    <t>538</t>
  </si>
  <si>
    <t>LUIS FERNANDO TORRES MENDOZA</t>
  </si>
  <si>
    <t>546</t>
  </si>
  <si>
    <t>CLAUDIA PATRICIA VALERO REYNA</t>
  </si>
  <si>
    <t>553</t>
  </si>
  <si>
    <t>JOSE GARCIA IGNACIO</t>
  </si>
  <si>
    <t>572</t>
  </si>
  <si>
    <t>HOMERO GARZA CARDENAS</t>
  </si>
  <si>
    <t>574</t>
  </si>
  <si>
    <t>LUIS CASTRO ALVARADO</t>
  </si>
  <si>
    <t>616</t>
  </si>
  <si>
    <t>HECTOR JUAREZ GONZALEZ</t>
  </si>
  <si>
    <t>624</t>
  </si>
  <si>
    <t>SAMUEL PEREZ CASTAÑEDA</t>
  </si>
  <si>
    <t>668</t>
  </si>
  <si>
    <t>RUBEN GILBERTO VASQUEZ RUIZ</t>
  </si>
  <si>
    <t>677</t>
  </si>
  <si>
    <t>IDALIA AGUIRRE TAMEZ</t>
  </si>
  <si>
    <t>683</t>
  </si>
  <si>
    <t>MAURICIO ANTONIO REYNA GARCIA</t>
  </si>
  <si>
    <t>696</t>
  </si>
  <si>
    <t>MARIA PURIFICACION MARTINEZ PEÑA</t>
  </si>
  <si>
    <t>697</t>
  </si>
  <si>
    <t>ANAHI SIFUENTES ALCOCER</t>
  </si>
  <si>
    <t>712</t>
  </si>
  <si>
    <t>OLEGARIO RAMIREZ ROMAN</t>
  </si>
  <si>
    <t>714</t>
  </si>
  <si>
    <t>MIREYA ALEJANDRA LOPEZ LOPEZ</t>
  </si>
  <si>
    <t>742</t>
  </si>
  <si>
    <t>MARIA OFELIA TREVIÑO FLORES</t>
  </si>
  <si>
    <t>743</t>
  </si>
  <si>
    <t>GLORIA GUADALUPE ESPARZA ACOSTA</t>
  </si>
  <si>
    <t>747</t>
  </si>
  <si>
    <t>IVETTE AZUCENA SEGOVIA MONTES</t>
  </si>
  <si>
    <t>773</t>
  </si>
  <si>
    <t>IGNACIO SOLIS MARTINEZ</t>
  </si>
  <si>
    <t>055760200017</t>
  </si>
  <si>
    <t>789</t>
  </si>
  <si>
    <t>ARACELY ELIZABETH GARCIA DEGOLLADO</t>
  </si>
  <si>
    <t>795</t>
  </si>
  <si>
    <t>DANIELA DENISSE GARCIA DEGOLLADO</t>
  </si>
  <si>
    <t>798</t>
  </si>
  <si>
    <t>DULCE KAREN VARGAS MONDRAGON</t>
  </si>
  <si>
    <t>810</t>
  </si>
  <si>
    <t>MARISELA DEL CARMEN BORGES HERNANDEZ</t>
  </si>
  <si>
    <t>055760180016</t>
  </si>
  <si>
    <t>TOTAL</t>
  </si>
  <si>
    <t>Aguinaldo</t>
  </si>
  <si>
    <t>823</t>
  </si>
  <si>
    <t>ALTAGRACIA CARDENAS RIVERA</t>
  </si>
  <si>
    <t>055759210017</t>
  </si>
  <si>
    <t>GRANADOS MARTINEZ MYRIAM</t>
  </si>
  <si>
    <t>CECILIA JIMENEZ HERNANDEZ</t>
  </si>
  <si>
    <t>055758190012</t>
  </si>
  <si>
    <t>Detalle</t>
  </si>
  <si>
    <t>839</t>
  </si>
  <si>
    <t>MYRIAM GRANADOS MARTINEZ</t>
  </si>
  <si>
    <t>055757190019</t>
  </si>
  <si>
    <t>772</t>
  </si>
  <si>
    <t>RODAS AVELAR ELMER ANIBAL</t>
  </si>
  <si>
    <t>HERNANDEZ GUTIERREZ JESUS ARMANDO</t>
  </si>
  <si>
    <t>869</t>
  </si>
  <si>
    <t>ELMER ANIBAL RODAS AVELAR</t>
  </si>
  <si>
    <t>055756210016</t>
  </si>
  <si>
    <t>VALLI MUÑOZ ALONDRA</t>
  </si>
  <si>
    <t>HERNANDEZ PAEZ ALEJANDRO ISRAEL</t>
  </si>
  <si>
    <t>Bono fiscal</t>
  </si>
  <si>
    <t>Día festivo</t>
  </si>
  <si>
    <t>879</t>
  </si>
  <si>
    <t>JESUS ARMANDO HERNANDEZ GUTIERREZ</t>
  </si>
  <si>
    <t>055755190011</t>
  </si>
  <si>
    <t>883</t>
  </si>
  <si>
    <t>ALONDRA VALLI MUÑOZ</t>
  </si>
  <si>
    <t>055755160015</t>
  </si>
  <si>
    <t>GANDARILLA CORRAL JOSE</t>
  </si>
  <si>
    <t>LUNA RAMIREZ ALIZON SARAHI</t>
  </si>
  <si>
    <t>ALVARADO RODRIGUEZ GABRIEL DE JESUS</t>
  </si>
  <si>
    <t>CRUZ CASTILLO SERGIO ALAN</t>
  </si>
  <si>
    <t>ROBLEDO ROBLEDO BRAYAN ALEXANDRO</t>
  </si>
  <si>
    <t>LOZANO GARCIA ANA KAREN</t>
  </si>
  <si>
    <t>CAMPILLO OVIEDO CELENE LIZET</t>
  </si>
  <si>
    <t>889</t>
  </si>
  <si>
    <t>ALEJANDRO ISRAEL HERNANDEZ PAEZ</t>
  </si>
  <si>
    <t>055753630014</t>
  </si>
  <si>
    <t>896</t>
  </si>
  <si>
    <t>JOSE GANDARILLA CORRAL</t>
  </si>
  <si>
    <t>055753600018</t>
  </si>
  <si>
    <t>897</t>
  </si>
  <si>
    <t>ALIZON SARAHI LUNA RAMIREZ</t>
  </si>
  <si>
    <t>055753590012</t>
  </si>
  <si>
    <t>CHEQUES</t>
  </si>
  <si>
    <t>GONZALEZ CRUZ MARIA DE JESUS</t>
  </si>
  <si>
    <t>RUBIO HERNANDEZ FERNANDA ZAIDE</t>
  </si>
  <si>
    <t>ESPARZA RODRIGUEZ ARTURO HERNAN</t>
  </si>
  <si>
    <t>DE LA FUENTE VALADEZ DONALDO DE JESUS</t>
  </si>
  <si>
    <t>CASTILLO ZAPATA IVAN DARIO</t>
  </si>
  <si>
    <t>CABRERA ZARATE JOSE LUIS</t>
  </si>
  <si>
    <t>RAMOS VELAZQUEZ STEPHANY DENISSE</t>
  </si>
  <si>
    <t>YAÑEZ ALEMAN MARTHA ALICIA</t>
  </si>
  <si>
    <t>TOVAR VILLARREAL REYNA ALEJANDRA</t>
  </si>
  <si>
    <t>AGUIÑA RODRIGUEZ DAVID ISAI</t>
  </si>
  <si>
    <t>PEREZ VAZQUEZ FABIOLA</t>
  </si>
  <si>
    <t>GONZALEZ MENDOZA ANGEL SANTIAGO</t>
  </si>
  <si>
    <t>CASTILLO RUIZ ELIZABETH</t>
  </si>
  <si>
    <t>FINIQUITOS PAGADOS</t>
  </si>
  <si>
    <t>FINIQUITO PAGADO</t>
  </si>
  <si>
    <t>733</t>
  </si>
  <si>
    <t>MARIA DE JESUS GONZALEZ CRUZ</t>
  </si>
  <si>
    <t>055768230021</t>
  </si>
  <si>
    <t>855</t>
  </si>
  <si>
    <t>FABIOLA PEREZ VAZQUEZ</t>
  </si>
  <si>
    <t>055756160019</t>
  </si>
  <si>
    <t>862</t>
  </si>
  <si>
    <t>CELENE LIZET CAMPILLO OVIEDO</t>
  </si>
  <si>
    <t>055752100011</t>
  </si>
  <si>
    <t>901</t>
  </si>
  <si>
    <t>GABRIEL DE JESUS ALVARADO RODRIGUEZ</t>
  </si>
  <si>
    <t>055752090016</t>
  </si>
  <si>
    <t>902</t>
  </si>
  <si>
    <t>SERGIO ALAN CRUZ CASTILLO</t>
  </si>
  <si>
    <t>055752080011</t>
  </si>
  <si>
    <t>912</t>
  </si>
  <si>
    <t>ARTURO HERNAN ESPARZA RODRIGUEZ</t>
  </si>
  <si>
    <t>055752070015</t>
  </si>
  <si>
    <t>913</t>
  </si>
  <si>
    <t>DONALDO DE JESUS DE LA FUENTE VALADEZ</t>
  </si>
  <si>
    <t>002631350022</t>
  </si>
  <si>
    <t>915</t>
  </si>
  <si>
    <t>JOSE LUIS CABRERA ZARATE</t>
  </si>
  <si>
    <t>055752060010</t>
  </si>
  <si>
    <t>918</t>
  </si>
  <si>
    <t>STEPHANY DENISSE RAMOS VELAZQUEZ</t>
  </si>
  <si>
    <t>055752050014</t>
  </si>
  <si>
    <t>3 - Semanal del sábado, 10 de enero de 2026 al viernes, 16 de enero de 2026.</t>
  </si>
  <si>
    <t>ROSALES CASTILLO JOSE MAURICIO</t>
  </si>
  <si>
    <t>VAC PAGADAS</t>
  </si>
  <si>
    <t>1 VAC</t>
  </si>
  <si>
    <t>VACACIONES PAGADAS</t>
  </si>
  <si>
    <t xml:space="preserve">VAC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</si>
</sst>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7" x14ac:knownFonts="1">
    <font>
      <sz val="10"/>
      <name val="Arial"/>
    </font>
    <font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b/>
      <sz val="16"/>
      <name val="Arial"/>
      <family val="2"/>
    </font>
    <font>
      <b/>
      <sz val="9"/>
      <color indexed="48"/>
      <name val="Arial"/>
      <family val="2"/>
    </font>
    <font>
      <sz val="9"/>
      <name val="Arial"/>
      <family val="2"/>
    </font>
    <font>
      <b/>
      <sz val="9"/>
      <color indexed="60"/>
      <name val="Arial"/>
      <family val="2"/>
    </font>
    <font>
      <sz val="9"/>
      <color indexed="8"/>
      <name val="Arial"/>
      <family val="2"/>
    </font>
    <font>
      <b/>
      <sz val="18"/>
      <color indexed="8"/>
      <name val="Arial"/>
      <family val="2"/>
    </font>
    <font>
      <b/>
      <sz val="14"/>
      <color indexed="8"/>
      <name val="Arial"/>
      <family val="2"/>
    </font>
    <font>
      <b/>
      <sz val="11"/>
      <color theme="3"/>
      <name val="Calibri"/>
      <family val="2"/>
      <scheme val="minor"/>
    </font>
    <font>
      <sz val="8"/>
      <color indexed="8"/>
      <name val="Arial"/>
      <family val="2"/>
    </font>
    <font>
      <b/>
      <i/>
      <sz val="12"/>
      <color rgb="FFFFFFFF"/>
      <name val="Arial"/>
      <family val="2"/>
    </font>
    <font>
      <b/>
      <sz val="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DC393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ck">
        <color auto="1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4" fillId="0" borderId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164" fontId="2" fillId="0" borderId="0" xfId="0" applyNumberFormat="1" applyFont="1"/>
    <xf numFmtId="164" fontId="3" fillId="0" borderId="0" xfId="0" applyNumberFormat="1" applyFont="1"/>
    <xf numFmtId="49" fontId="2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left" vertical="top"/>
    </xf>
    <xf numFmtId="3" fontId="3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top"/>
    </xf>
    <xf numFmtId="0" fontId="8" fillId="0" borderId="0" xfId="0" applyFont="1"/>
    <xf numFmtId="49" fontId="9" fillId="2" borderId="1" xfId="0" applyNumberFormat="1" applyFont="1" applyFill="1" applyBorder="1" applyAlignment="1">
      <alignment horizontal="left" vertical="top"/>
    </xf>
    <xf numFmtId="49" fontId="10" fillId="2" borderId="1" xfId="0" applyNumberFormat="1" applyFont="1" applyFill="1" applyBorder="1" applyAlignment="1">
      <alignment horizontal="left" vertical="top"/>
    </xf>
    <xf numFmtId="49" fontId="11" fillId="2" borderId="1" xfId="0" applyNumberFormat="1" applyFont="1" applyFill="1" applyBorder="1" applyAlignment="1">
      <alignment horizontal="center" vertical="top"/>
    </xf>
    <xf numFmtId="49" fontId="12" fillId="2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49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/>
    <xf numFmtId="164" fontId="2" fillId="0" borderId="0" xfId="0" applyNumberFormat="1" applyFont="1" applyAlignment="1">
      <alignment horizontal="center"/>
    </xf>
    <xf numFmtId="3" fontId="14" fillId="2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3" fontId="3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left"/>
    </xf>
    <xf numFmtId="49" fontId="5" fillId="2" borderId="1" xfId="0" quotePrefix="1" applyNumberFormat="1" applyFont="1" applyFill="1" applyBorder="1" applyAlignment="1">
      <alignment horizontal="center" vertical="top"/>
    </xf>
    <xf numFmtId="3" fontId="1" fillId="0" borderId="1" xfId="1" applyNumberFormat="1" applyFont="1" applyBorder="1" applyAlignment="1">
      <alignment horizontal="left" vertical="top"/>
    </xf>
    <xf numFmtId="164" fontId="1" fillId="0" borderId="1" xfId="1" applyNumberFormat="1" applyFont="1" applyBorder="1" applyAlignment="1">
      <alignment vertical="top"/>
    </xf>
    <xf numFmtId="49" fontId="15" fillId="3" borderId="1" xfId="2" applyNumberFormat="1" applyFont="1" applyFill="1" applyBorder="1" applyAlignment="1">
      <alignment horizontal="center" vertical="center" wrapText="1"/>
    </xf>
    <xf numFmtId="164" fontId="15" fillId="3" borderId="1" xfId="2" applyNumberFormat="1" applyFont="1" applyFill="1" applyBorder="1" applyAlignment="1">
      <alignment horizontal="center" vertical="center" wrapText="1"/>
    </xf>
    <xf numFmtId="164" fontId="15" fillId="3" borderId="0" xfId="2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top"/>
    </xf>
    <xf numFmtId="49" fontId="1" fillId="0" borderId="1" xfId="1" applyNumberFormat="1" applyFont="1" applyBorder="1" applyAlignment="1">
      <alignment horizontal="left" vertical="top"/>
    </xf>
    <xf numFmtId="49" fontId="15" fillId="4" borderId="1" xfId="2" applyNumberFormat="1" applyFont="1" applyFill="1" applyBorder="1" applyAlignment="1">
      <alignment horizontal="center" vertical="center" wrapText="1"/>
    </xf>
    <xf numFmtId="164" fontId="15" fillId="4" borderId="1" xfId="2" applyNumberFormat="1" applyFont="1" applyFill="1" applyBorder="1" applyAlignment="1">
      <alignment horizontal="center" vertical="center" wrapText="1"/>
    </xf>
    <xf numFmtId="164" fontId="15" fillId="4" borderId="0" xfId="2" applyNumberFormat="1" applyFont="1" applyFill="1" applyBorder="1" applyAlignment="1">
      <alignment horizontal="center" vertical="center" wrapText="1"/>
    </xf>
    <xf numFmtId="0" fontId="16" fillId="0" borderId="0" xfId="0" applyFont="1"/>
    <xf numFmtId="49" fontId="1" fillId="0" borderId="4" xfId="1" applyNumberFormat="1" applyFont="1" applyBorder="1" applyAlignment="1">
      <alignment horizontal="left" vertical="top"/>
    </xf>
    <xf numFmtId="164" fontId="1" fillId="0" borderId="0" xfId="1" applyNumberFormat="1" applyFont="1" applyAlignment="1">
      <alignment vertical="top"/>
    </xf>
    <xf numFmtId="49" fontId="16" fillId="0" borderId="1" xfId="0" applyNumberFormat="1" applyFont="1" applyBorder="1" applyAlignment="1">
      <alignment horizontal="center" vertical="top"/>
    </xf>
    <xf numFmtId="164" fontId="6" fillId="0" borderId="2" xfId="0" applyNumberFormat="1" applyFont="1" applyBorder="1"/>
    <xf numFmtId="164" fontId="3" fillId="5" borderId="0" xfId="0" applyNumberFormat="1" applyFont="1" applyFill="1"/>
    <xf numFmtId="164" fontId="2" fillId="0" borderId="0" xfId="0" applyNumberFormat="1" applyFont="1" applyAlignment="1">
      <alignment horizontal="center" vertical="center"/>
    </xf>
    <xf numFmtId="49" fontId="15" fillId="6" borderId="1" xfId="2" applyNumberFormat="1" applyFont="1" applyFill="1" applyBorder="1" applyAlignment="1">
      <alignment horizontal="center" vertical="center" wrapText="1"/>
    </xf>
    <xf numFmtId="164" fontId="15" fillId="6" borderId="1" xfId="2" applyNumberFormat="1" applyFont="1" applyFill="1" applyBorder="1" applyAlignment="1">
      <alignment horizontal="center" vertical="center" wrapText="1"/>
    </xf>
    <xf numFmtId="164" fontId="15" fillId="6" borderId="0" xfId="2" applyNumberFormat="1" applyFont="1" applyFill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left" vertical="top"/>
    </xf>
    <xf numFmtId="0" fontId="3" fillId="7" borderId="0" xfId="0" applyFont="1" applyFill="1"/>
    <xf numFmtId="3" fontId="3" fillId="0" borderId="1" xfId="1" applyNumberFormat="1" applyFont="1" applyBorder="1" applyAlignment="1">
      <alignment horizontal="left" vertical="top"/>
    </xf>
    <xf numFmtId="49" fontId="3" fillId="0" borderId="1" xfId="1" applyNumberFormat="1" applyFont="1" applyBorder="1" applyAlignment="1">
      <alignment horizontal="left" vertical="top"/>
    </xf>
    <xf numFmtId="164" fontId="3" fillId="0" borderId="1" xfId="1" applyNumberFormat="1" applyFont="1" applyBorder="1" applyAlignment="1">
      <alignment vertical="top"/>
    </xf>
    <xf numFmtId="3" fontId="1" fillId="8" borderId="1" xfId="1" applyNumberFormat="1" applyFont="1" applyFill="1" applyBorder="1" applyAlignment="1">
      <alignment horizontal="left" vertical="top"/>
    </xf>
    <xf numFmtId="49" fontId="1" fillId="8" borderId="1" xfId="1" applyNumberFormat="1" applyFont="1" applyFill="1" applyBorder="1" applyAlignment="1">
      <alignment horizontal="left" vertical="top"/>
    </xf>
    <xf numFmtId="164" fontId="1" fillId="8" borderId="1" xfId="1" applyNumberFormat="1" applyFont="1" applyFill="1" applyBorder="1" applyAlignment="1">
      <alignment vertical="top"/>
    </xf>
    <xf numFmtId="164" fontId="2" fillId="8" borderId="1" xfId="0" applyNumberFormat="1" applyFont="1" applyFill="1" applyBorder="1" applyAlignment="1">
      <alignment horizontal="center" vertical="top"/>
    </xf>
    <xf numFmtId="3" fontId="14" fillId="7" borderId="1" xfId="0" applyNumberFormat="1" applyFont="1" applyFill="1" applyBorder="1" applyAlignment="1">
      <alignment horizontal="left" vertical="top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3" fontId="1" fillId="9" borderId="1" xfId="1" applyNumberFormat="1" applyFont="1" applyFill="1" applyBorder="1" applyAlignment="1">
      <alignment horizontal="left" vertical="top"/>
    </xf>
    <xf numFmtId="49" fontId="1" fillId="9" borderId="1" xfId="1" applyNumberFormat="1" applyFont="1" applyFill="1" applyBorder="1" applyAlignment="1">
      <alignment horizontal="left" vertical="top"/>
    </xf>
    <xf numFmtId="164" fontId="1" fillId="9" borderId="1" xfId="1" applyNumberFormat="1" applyFont="1" applyFill="1" applyBorder="1" applyAlignment="1">
      <alignment vertical="top"/>
    </xf>
    <xf numFmtId="164" fontId="2" fillId="9" borderId="1" xfId="0" applyNumberFormat="1" applyFont="1" applyFill="1" applyBorder="1" applyAlignment="1">
      <alignment horizontal="center" vertical="top"/>
    </xf>
  </cellXfs>
  <cellStyles count="3">
    <cellStyle name="Encabezado 4" xfId="2" builtinId="19"/>
    <cellStyle name="Normal" xfId="0" builtinId="0"/>
    <cellStyle name="Normal 2" xfId="1" xr:uid="{BFD58142-AD5F-4D5F-B582-98F15DC5EF5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0066"/>
      <color rgb="FFFFCCFF"/>
      <color rgb="FFFF99CC"/>
      <color rgb="FFFFE7FF"/>
      <color rgb="FFCC00FF"/>
      <color rgb="FFFFFF99"/>
      <color rgb="FFFFFFFF"/>
      <color rgb="FFFF99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428D-39A2-4D28-8829-4F406D937560}">
  <sheetPr>
    <pageSetUpPr fitToPage="1"/>
  </sheetPr>
  <dimension ref="A1:O139"/>
  <sheetViews>
    <sheetView tabSelected="1" zoomScale="85" zoomScaleNormal="85" workbookViewId="0">
      <pane ySplit="5" topLeftCell="A6" activePane="bottomLeft" state="frozen"/>
      <selection pane="bottomLeft" activeCell="E79" sqref="E79"/>
    </sheetView>
  </sheetViews>
  <sheetFormatPr baseColWidth="10" defaultRowHeight="15.75" x14ac:dyDescent="0.25"/>
  <cols>
    <col min="1" max="1" width="10.42578125" style="17" customWidth="1"/>
    <col min="2" max="2" width="47.85546875" style="1" customWidth="1"/>
    <col min="3" max="3" width="13.7109375" style="1" bestFit="1" customWidth="1"/>
    <col min="4" max="4" width="13.140625" style="1" bestFit="1" customWidth="1"/>
    <col min="5" max="5" width="11.140625" style="1" customWidth="1"/>
    <col min="6" max="6" width="13.140625" style="1" customWidth="1"/>
    <col min="7" max="7" width="13.140625" style="1" bestFit="1" customWidth="1"/>
    <col min="8" max="8" width="14.42578125" style="1" customWidth="1"/>
    <col min="9" max="10" width="15.5703125" style="1" bestFit="1" customWidth="1"/>
    <col min="11" max="11" width="14.140625" style="1" bestFit="1" customWidth="1"/>
    <col min="12" max="12" width="13.42578125" style="1" bestFit="1" customWidth="1"/>
    <col min="13" max="13" width="13.42578125" style="1" customWidth="1"/>
    <col min="14" max="14" width="14.140625" style="1" customWidth="1"/>
    <col min="15" max="15" width="24.42578125" style="22" customWidth="1"/>
    <col min="16" max="16384" width="11.42578125" style="1"/>
  </cols>
  <sheetData>
    <row r="1" spans="1:15" x14ac:dyDescent="0.25">
      <c r="A1" s="4" t="s">
        <v>0</v>
      </c>
    </row>
    <row r="2" spans="1:15" ht="26.25" x14ac:dyDescent="0.25">
      <c r="A2" s="4" t="s">
        <v>1</v>
      </c>
      <c r="H2" s="44" t="s">
        <v>2</v>
      </c>
    </row>
    <row r="3" spans="1:15" ht="20.25" x14ac:dyDescent="0.25">
      <c r="A3" s="6" t="s">
        <v>3</v>
      </c>
      <c r="H3" s="5" t="s">
        <v>4</v>
      </c>
    </row>
    <row r="4" spans="1:15" ht="26.25" x14ac:dyDescent="0.4">
      <c r="A4" s="6" t="s">
        <v>3</v>
      </c>
      <c r="D4" s="41"/>
      <c r="E4" s="41"/>
      <c r="F4" s="30"/>
      <c r="G4" s="41"/>
      <c r="H4" s="30" t="s">
        <v>262</v>
      </c>
    </row>
    <row r="5" spans="1:15" s="7" customFormat="1" ht="50.25" customHeight="1" x14ac:dyDescent="0.2">
      <c r="A5" s="48" t="s">
        <v>5</v>
      </c>
      <c r="B5" s="48" t="s">
        <v>6</v>
      </c>
      <c r="C5" s="49" t="s">
        <v>7</v>
      </c>
      <c r="D5" s="49" t="s">
        <v>8</v>
      </c>
      <c r="E5" s="49" t="s">
        <v>196</v>
      </c>
      <c r="F5" s="49" t="s">
        <v>9</v>
      </c>
      <c r="G5" s="49" t="s">
        <v>10</v>
      </c>
      <c r="H5" s="49" t="s">
        <v>12</v>
      </c>
      <c r="I5" s="49" t="s">
        <v>11</v>
      </c>
      <c r="J5" s="49" t="s">
        <v>13</v>
      </c>
      <c r="K5" s="49" t="s">
        <v>90</v>
      </c>
      <c r="L5" s="49" t="s">
        <v>91</v>
      </c>
      <c r="M5" s="50" t="s">
        <v>176</v>
      </c>
      <c r="N5" s="50" t="s">
        <v>195</v>
      </c>
      <c r="O5" s="49" t="s">
        <v>183</v>
      </c>
    </row>
    <row r="6" spans="1:15" s="3" customFormat="1" x14ac:dyDescent="0.2">
      <c r="A6" s="31">
        <v>1</v>
      </c>
      <c r="B6" s="37" t="s">
        <v>14</v>
      </c>
      <c r="C6" s="32">
        <v>2323.1999999999998</v>
      </c>
      <c r="D6" s="32">
        <v>387.2</v>
      </c>
      <c r="E6" s="32" t="s">
        <v>3</v>
      </c>
      <c r="F6" s="32" t="s">
        <v>3</v>
      </c>
      <c r="G6" s="32" t="s">
        <v>3</v>
      </c>
      <c r="H6" s="32">
        <v>212.23</v>
      </c>
      <c r="I6" s="32">
        <v>70.239999999999995</v>
      </c>
      <c r="J6" s="32">
        <v>2524.8000000000002</v>
      </c>
      <c r="K6" s="32" t="s">
        <v>3</v>
      </c>
      <c r="L6" s="32" t="s">
        <v>3</v>
      </c>
      <c r="M6" s="32" t="s">
        <v>3</v>
      </c>
      <c r="N6" s="32" t="s">
        <v>3</v>
      </c>
      <c r="O6" s="24"/>
    </row>
    <row r="7" spans="1:15" s="3" customFormat="1" x14ac:dyDescent="0.2">
      <c r="A7" s="31">
        <v>37</v>
      </c>
      <c r="B7" s="37" t="s">
        <v>15</v>
      </c>
      <c r="C7" s="32">
        <v>1890.24</v>
      </c>
      <c r="D7" s="32">
        <v>315.04000000000002</v>
      </c>
      <c r="E7" s="32" t="s">
        <v>3</v>
      </c>
      <c r="F7" s="32" t="s">
        <v>3</v>
      </c>
      <c r="G7" s="32" t="s">
        <v>3</v>
      </c>
      <c r="H7" s="32" t="s">
        <v>3</v>
      </c>
      <c r="I7" s="32" t="s">
        <v>3</v>
      </c>
      <c r="J7" s="32">
        <v>2284.1999999999998</v>
      </c>
      <c r="K7" s="32" t="s">
        <v>3</v>
      </c>
      <c r="L7" s="32" t="s">
        <v>3</v>
      </c>
      <c r="M7" s="32" t="s">
        <v>3</v>
      </c>
      <c r="N7" s="32" t="s">
        <v>3</v>
      </c>
      <c r="O7" s="24"/>
    </row>
    <row r="8" spans="1:15" s="3" customFormat="1" x14ac:dyDescent="0.2">
      <c r="A8" s="31">
        <v>71</v>
      </c>
      <c r="B8" s="37" t="s">
        <v>16</v>
      </c>
      <c r="C8" s="32">
        <v>1890.24</v>
      </c>
      <c r="D8" s="32">
        <v>315.04000000000002</v>
      </c>
      <c r="E8" s="32" t="s">
        <v>3</v>
      </c>
      <c r="F8" s="32" t="s">
        <v>3</v>
      </c>
      <c r="G8" s="32">
        <v>388.35</v>
      </c>
      <c r="H8" s="32" t="s">
        <v>3</v>
      </c>
      <c r="I8" s="32" t="s">
        <v>3</v>
      </c>
      <c r="J8" s="32">
        <v>1895.8</v>
      </c>
      <c r="K8" s="32" t="s">
        <v>3</v>
      </c>
      <c r="L8" s="32" t="s">
        <v>3</v>
      </c>
      <c r="M8" s="32" t="s">
        <v>3</v>
      </c>
      <c r="N8" s="32" t="s">
        <v>3</v>
      </c>
      <c r="O8" s="24"/>
    </row>
    <row r="9" spans="1:15" s="3" customFormat="1" x14ac:dyDescent="0.2">
      <c r="A9" s="31">
        <v>96</v>
      </c>
      <c r="B9" s="37" t="s">
        <v>17</v>
      </c>
      <c r="C9" s="32">
        <v>1890.24</v>
      </c>
      <c r="D9" s="32">
        <v>315.04000000000002</v>
      </c>
      <c r="E9" s="32" t="s">
        <v>3</v>
      </c>
      <c r="F9" s="32">
        <v>380.33</v>
      </c>
      <c r="G9" s="32" t="s">
        <v>3</v>
      </c>
      <c r="H9" s="32" t="s">
        <v>3</v>
      </c>
      <c r="I9" s="32" t="s">
        <v>3</v>
      </c>
      <c r="J9" s="32">
        <v>1825</v>
      </c>
      <c r="K9" s="32" t="s">
        <v>3</v>
      </c>
      <c r="L9" s="32" t="s">
        <v>3</v>
      </c>
      <c r="M9" s="32" t="s">
        <v>3</v>
      </c>
      <c r="N9" s="32" t="s">
        <v>3</v>
      </c>
      <c r="O9" s="24"/>
    </row>
    <row r="10" spans="1:15" s="3" customFormat="1" x14ac:dyDescent="0.2">
      <c r="A10" s="31">
        <v>135</v>
      </c>
      <c r="B10" s="37" t="s">
        <v>18</v>
      </c>
      <c r="C10" s="32">
        <v>2323.1999999999998</v>
      </c>
      <c r="D10" s="32">
        <v>387.2</v>
      </c>
      <c r="E10" s="32" t="s">
        <v>3</v>
      </c>
      <c r="F10" s="32" t="s">
        <v>3</v>
      </c>
      <c r="G10" s="32" t="s">
        <v>3</v>
      </c>
      <c r="H10" s="32">
        <v>212.23</v>
      </c>
      <c r="I10" s="32">
        <v>70.150000000000006</v>
      </c>
      <c r="J10" s="32">
        <v>2524.8000000000002</v>
      </c>
      <c r="K10" s="32" t="s">
        <v>3</v>
      </c>
      <c r="L10" s="32" t="s">
        <v>3</v>
      </c>
      <c r="M10" s="32" t="s">
        <v>3</v>
      </c>
      <c r="N10" s="32" t="s">
        <v>3</v>
      </c>
      <c r="O10" s="24"/>
    </row>
    <row r="11" spans="1:15" s="3" customFormat="1" x14ac:dyDescent="0.2">
      <c r="A11" s="31">
        <v>167</v>
      </c>
      <c r="B11" s="37" t="s">
        <v>19</v>
      </c>
      <c r="C11" s="32">
        <v>1890.24</v>
      </c>
      <c r="D11" s="32">
        <v>315.04000000000002</v>
      </c>
      <c r="E11" s="32" t="s">
        <v>3</v>
      </c>
      <c r="F11" s="32" t="s">
        <v>3</v>
      </c>
      <c r="G11" s="32" t="s">
        <v>3</v>
      </c>
      <c r="H11" s="32" t="s">
        <v>3</v>
      </c>
      <c r="I11" s="32" t="s">
        <v>3</v>
      </c>
      <c r="J11" s="32">
        <v>2284.1999999999998</v>
      </c>
      <c r="K11" s="32" t="s">
        <v>3</v>
      </c>
      <c r="L11" s="32" t="s">
        <v>3</v>
      </c>
      <c r="M11" s="32" t="s">
        <v>3</v>
      </c>
      <c r="N11" s="32" t="s">
        <v>3</v>
      </c>
      <c r="O11" s="24"/>
    </row>
    <row r="12" spans="1:15" s="3" customFormat="1" ht="15" customHeight="1" x14ac:dyDescent="0.2">
      <c r="A12" s="31">
        <v>179</v>
      </c>
      <c r="B12" s="37" t="s">
        <v>20</v>
      </c>
      <c r="C12" s="32">
        <v>1890.24</v>
      </c>
      <c r="D12" s="32">
        <v>315.04000000000002</v>
      </c>
      <c r="E12" s="32" t="s">
        <v>3</v>
      </c>
      <c r="F12" s="32" t="s">
        <v>3</v>
      </c>
      <c r="G12" s="32">
        <v>433.07</v>
      </c>
      <c r="H12" s="32" t="s">
        <v>3</v>
      </c>
      <c r="I12" s="32" t="s">
        <v>3</v>
      </c>
      <c r="J12" s="32">
        <v>1851</v>
      </c>
      <c r="K12" s="32" t="s">
        <v>3</v>
      </c>
      <c r="L12" s="32" t="s">
        <v>3</v>
      </c>
      <c r="M12" s="32" t="s">
        <v>3</v>
      </c>
      <c r="N12" s="32" t="s">
        <v>3</v>
      </c>
      <c r="O12" s="24"/>
    </row>
    <row r="13" spans="1:15" s="3" customFormat="1" x14ac:dyDescent="0.2">
      <c r="A13" s="31">
        <v>202</v>
      </c>
      <c r="B13" s="37" t="s">
        <v>48</v>
      </c>
      <c r="C13" s="32">
        <v>1890.24</v>
      </c>
      <c r="D13" s="32">
        <v>315.04000000000002</v>
      </c>
      <c r="E13" s="32" t="s">
        <v>3</v>
      </c>
      <c r="F13" s="32" t="s">
        <v>3</v>
      </c>
      <c r="G13" s="32">
        <v>517.11</v>
      </c>
      <c r="H13" s="32" t="s">
        <v>3</v>
      </c>
      <c r="I13" s="32" t="s">
        <v>3</v>
      </c>
      <c r="J13" s="32">
        <v>1767</v>
      </c>
      <c r="K13" s="32" t="s">
        <v>3</v>
      </c>
      <c r="L13" s="32" t="s">
        <v>3</v>
      </c>
      <c r="M13" s="32" t="s">
        <v>3</v>
      </c>
      <c r="N13" s="32" t="s">
        <v>3</v>
      </c>
      <c r="O13" s="28"/>
    </row>
    <row r="14" spans="1:15" s="3" customFormat="1" x14ac:dyDescent="0.2">
      <c r="A14" s="31">
        <v>343</v>
      </c>
      <c r="B14" s="37" t="s">
        <v>228</v>
      </c>
      <c r="C14" s="32">
        <v>1890.24</v>
      </c>
      <c r="D14" s="32">
        <v>315.04000000000002</v>
      </c>
      <c r="E14" s="32" t="s">
        <v>3</v>
      </c>
      <c r="F14" s="32" t="s">
        <v>3</v>
      </c>
      <c r="G14" s="32">
        <v>223.22</v>
      </c>
      <c r="H14" s="32" t="s">
        <v>3</v>
      </c>
      <c r="I14" s="32" t="s">
        <v>3</v>
      </c>
      <c r="J14" s="32">
        <v>2060.8000000000002</v>
      </c>
      <c r="K14" s="32" t="s">
        <v>3</v>
      </c>
      <c r="L14" s="32" t="s">
        <v>3</v>
      </c>
      <c r="M14" s="32" t="s">
        <v>3</v>
      </c>
      <c r="N14" s="32" t="s">
        <v>3</v>
      </c>
      <c r="O14" s="47"/>
    </row>
    <row r="15" spans="1:15" s="3" customFormat="1" x14ac:dyDescent="0.2">
      <c r="A15" s="63">
        <v>363</v>
      </c>
      <c r="B15" s="64" t="s">
        <v>21</v>
      </c>
      <c r="C15" s="65">
        <v>1890.24</v>
      </c>
      <c r="D15" s="65">
        <v>315.04000000000002</v>
      </c>
      <c r="E15" s="65" t="s">
        <v>3</v>
      </c>
      <c r="F15" s="65" t="s">
        <v>3</v>
      </c>
      <c r="G15" s="65" t="s">
        <v>3</v>
      </c>
      <c r="H15" s="65" t="s">
        <v>3</v>
      </c>
      <c r="I15" s="65" t="s">
        <v>3</v>
      </c>
      <c r="J15" s="65">
        <v>4568.2</v>
      </c>
      <c r="K15" s="65">
        <v>1890.24</v>
      </c>
      <c r="L15" s="65">
        <v>472.56</v>
      </c>
      <c r="M15" s="65" t="s">
        <v>3</v>
      </c>
      <c r="N15" s="65" t="s">
        <v>3</v>
      </c>
      <c r="O15" s="66" t="s">
        <v>264</v>
      </c>
    </row>
    <row r="16" spans="1:15" s="3" customFormat="1" ht="15" customHeight="1" x14ac:dyDescent="0.2">
      <c r="A16" s="31">
        <v>370</v>
      </c>
      <c r="B16" s="37" t="s">
        <v>22</v>
      </c>
      <c r="C16" s="32">
        <v>1890.24</v>
      </c>
      <c r="D16" s="32">
        <v>315.04000000000002</v>
      </c>
      <c r="E16" s="32" t="s">
        <v>3</v>
      </c>
      <c r="F16" s="32" t="s">
        <v>3</v>
      </c>
      <c r="G16" s="32">
        <v>388.79</v>
      </c>
      <c r="H16" s="32" t="s">
        <v>3</v>
      </c>
      <c r="I16" s="32" t="s">
        <v>3</v>
      </c>
      <c r="J16" s="32">
        <v>1895.2</v>
      </c>
      <c r="K16" s="32" t="s">
        <v>3</v>
      </c>
      <c r="L16" s="32" t="s">
        <v>3</v>
      </c>
      <c r="M16" s="32" t="s">
        <v>3</v>
      </c>
      <c r="N16" s="32" t="s">
        <v>3</v>
      </c>
      <c r="O16" s="24"/>
    </row>
    <row r="17" spans="1:15" s="3" customFormat="1" x14ac:dyDescent="0.2">
      <c r="A17" s="31">
        <v>399</v>
      </c>
      <c r="B17" s="37" t="s">
        <v>23</v>
      </c>
      <c r="C17" s="32">
        <v>1890.24</v>
      </c>
      <c r="D17" s="32">
        <v>315.04000000000002</v>
      </c>
      <c r="E17" s="32" t="s">
        <v>3</v>
      </c>
      <c r="F17" s="32" t="s">
        <v>3</v>
      </c>
      <c r="G17" s="32" t="s">
        <v>3</v>
      </c>
      <c r="H17" s="32">
        <v>63.25</v>
      </c>
      <c r="I17" s="32" t="s">
        <v>3</v>
      </c>
      <c r="J17" s="32">
        <v>2220.8000000000002</v>
      </c>
      <c r="K17" s="32" t="s">
        <v>3</v>
      </c>
      <c r="L17" s="32" t="s">
        <v>3</v>
      </c>
      <c r="M17" s="32" t="s">
        <v>3</v>
      </c>
      <c r="N17" s="32" t="s">
        <v>3</v>
      </c>
      <c r="O17" s="24"/>
    </row>
    <row r="18" spans="1:15" s="3" customFormat="1" x14ac:dyDescent="0.2">
      <c r="A18" s="31">
        <v>429</v>
      </c>
      <c r="B18" s="37" t="s">
        <v>24</v>
      </c>
      <c r="C18" s="32">
        <v>1890.24</v>
      </c>
      <c r="D18" s="32">
        <v>315.04000000000002</v>
      </c>
      <c r="E18" s="32" t="s">
        <v>3</v>
      </c>
      <c r="F18" s="32" t="s">
        <v>3</v>
      </c>
      <c r="G18" s="32" t="s">
        <v>3</v>
      </c>
      <c r="H18" s="32" t="s">
        <v>3</v>
      </c>
      <c r="I18" s="32" t="s">
        <v>3</v>
      </c>
      <c r="J18" s="32">
        <v>2284</v>
      </c>
      <c r="K18" s="32" t="s">
        <v>3</v>
      </c>
      <c r="L18" s="32" t="s">
        <v>3</v>
      </c>
      <c r="M18" s="32" t="s">
        <v>3</v>
      </c>
      <c r="N18" s="32" t="s">
        <v>3</v>
      </c>
      <c r="O18" s="24"/>
    </row>
    <row r="19" spans="1:15" s="3" customFormat="1" x14ac:dyDescent="0.2">
      <c r="A19" s="31">
        <v>467</v>
      </c>
      <c r="B19" s="37" t="s">
        <v>25</v>
      </c>
      <c r="C19" s="32">
        <v>1890.24</v>
      </c>
      <c r="D19" s="32">
        <v>315.04000000000002</v>
      </c>
      <c r="E19" s="32" t="s">
        <v>3</v>
      </c>
      <c r="F19" s="32" t="s">
        <v>3</v>
      </c>
      <c r="G19" s="32" t="s">
        <v>3</v>
      </c>
      <c r="H19" s="32" t="s">
        <v>3</v>
      </c>
      <c r="I19" s="32" t="s">
        <v>3</v>
      </c>
      <c r="J19" s="32">
        <v>2284</v>
      </c>
      <c r="K19" s="32" t="s">
        <v>3</v>
      </c>
      <c r="L19" s="32" t="s">
        <v>3</v>
      </c>
      <c r="M19" s="32" t="s">
        <v>3</v>
      </c>
      <c r="N19" s="32" t="s">
        <v>3</v>
      </c>
      <c r="O19" s="24"/>
    </row>
    <row r="20" spans="1:15" s="3" customFormat="1" x14ac:dyDescent="0.2">
      <c r="A20" s="31">
        <v>478</v>
      </c>
      <c r="B20" s="37" t="s">
        <v>26</v>
      </c>
      <c r="C20" s="32">
        <v>1890.24</v>
      </c>
      <c r="D20" s="32">
        <v>315.04000000000002</v>
      </c>
      <c r="E20" s="32" t="s">
        <v>3</v>
      </c>
      <c r="F20" s="32" t="s">
        <v>3</v>
      </c>
      <c r="G20" s="32">
        <v>176.15</v>
      </c>
      <c r="H20" s="32" t="s">
        <v>3</v>
      </c>
      <c r="I20" s="32" t="s">
        <v>3</v>
      </c>
      <c r="J20" s="32">
        <v>2108</v>
      </c>
      <c r="K20" s="32" t="s">
        <v>3</v>
      </c>
      <c r="L20" s="32" t="s">
        <v>3</v>
      </c>
      <c r="M20" s="32" t="s">
        <v>3</v>
      </c>
      <c r="N20" s="32" t="s">
        <v>3</v>
      </c>
      <c r="O20" s="28"/>
    </row>
    <row r="21" spans="1:15" s="3" customFormat="1" x14ac:dyDescent="0.2">
      <c r="A21" s="31">
        <v>487</v>
      </c>
      <c r="B21" s="37" t="s">
        <v>27</v>
      </c>
      <c r="C21" s="32">
        <v>2657.16</v>
      </c>
      <c r="D21" s="32">
        <v>442.86</v>
      </c>
      <c r="E21" s="32" t="s">
        <v>3</v>
      </c>
      <c r="F21" s="32" t="s">
        <v>3</v>
      </c>
      <c r="G21" s="32" t="s">
        <v>3</v>
      </c>
      <c r="H21" s="32">
        <v>322.31</v>
      </c>
      <c r="I21" s="32">
        <v>81.349999999999994</v>
      </c>
      <c r="J21" s="32">
        <v>3157.2</v>
      </c>
      <c r="K21" s="32" t="s">
        <v>3</v>
      </c>
      <c r="L21" s="32" t="s">
        <v>3</v>
      </c>
      <c r="M21" s="32" t="s">
        <v>3</v>
      </c>
      <c r="N21" s="32">
        <v>350</v>
      </c>
      <c r="O21" s="24"/>
    </row>
    <row r="22" spans="1:15" s="3" customFormat="1" x14ac:dyDescent="0.2">
      <c r="A22" s="31">
        <v>538</v>
      </c>
      <c r="B22" s="37" t="s">
        <v>28</v>
      </c>
      <c r="C22" s="32">
        <v>1890.24</v>
      </c>
      <c r="D22" s="32">
        <v>315.04000000000002</v>
      </c>
      <c r="E22" s="32" t="s">
        <v>3</v>
      </c>
      <c r="F22" s="32" t="s">
        <v>3</v>
      </c>
      <c r="G22" s="32">
        <v>377.93</v>
      </c>
      <c r="H22" s="32" t="s">
        <v>3</v>
      </c>
      <c r="I22" s="32" t="s">
        <v>3</v>
      </c>
      <c r="J22" s="32">
        <v>1906.2</v>
      </c>
      <c r="K22" s="32" t="s">
        <v>3</v>
      </c>
      <c r="L22" s="32" t="s">
        <v>3</v>
      </c>
      <c r="M22" s="32" t="s">
        <v>3</v>
      </c>
      <c r="N22" s="32" t="s">
        <v>3</v>
      </c>
      <c r="O22" s="24"/>
    </row>
    <row r="23" spans="1:15" s="3" customFormat="1" ht="15" customHeight="1" x14ac:dyDescent="0.2">
      <c r="A23" s="31">
        <v>546</v>
      </c>
      <c r="B23" s="37" t="s">
        <v>29</v>
      </c>
      <c r="C23" s="32">
        <v>1890.24</v>
      </c>
      <c r="D23" s="32">
        <v>315.04000000000002</v>
      </c>
      <c r="E23" s="32" t="s">
        <v>3</v>
      </c>
      <c r="F23" s="32" t="s">
        <v>3</v>
      </c>
      <c r="G23" s="32" t="s">
        <v>3</v>
      </c>
      <c r="H23" s="32" t="s">
        <v>3</v>
      </c>
      <c r="I23" s="32" t="s">
        <v>3</v>
      </c>
      <c r="J23" s="32">
        <v>2284</v>
      </c>
      <c r="K23" s="32" t="s">
        <v>3</v>
      </c>
      <c r="L23" s="32" t="s">
        <v>3</v>
      </c>
      <c r="M23" s="32" t="s">
        <v>3</v>
      </c>
      <c r="N23" s="32" t="s">
        <v>3</v>
      </c>
      <c r="O23" s="24"/>
    </row>
    <row r="24" spans="1:15" s="3" customFormat="1" x14ac:dyDescent="0.2">
      <c r="A24" s="31">
        <v>553</v>
      </c>
      <c r="B24" s="37" t="s">
        <v>30</v>
      </c>
      <c r="C24" s="32">
        <v>1890.24</v>
      </c>
      <c r="D24" s="32">
        <v>315.04000000000002</v>
      </c>
      <c r="E24" s="32" t="s">
        <v>3</v>
      </c>
      <c r="F24" s="32" t="s">
        <v>3</v>
      </c>
      <c r="G24" s="32" t="s">
        <v>3</v>
      </c>
      <c r="H24" s="32" t="s">
        <v>3</v>
      </c>
      <c r="I24" s="32" t="s">
        <v>3</v>
      </c>
      <c r="J24" s="32">
        <v>2284</v>
      </c>
      <c r="K24" s="32" t="s">
        <v>3</v>
      </c>
      <c r="L24" s="32" t="s">
        <v>3</v>
      </c>
      <c r="M24" s="32" t="s">
        <v>3</v>
      </c>
      <c r="N24" s="32" t="s">
        <v>3</v>
      </c>
      <c r="O24" s="24"/>
    </row>
    <row r="25" spans="1:15" s="3" customFormat="1" ht="15" customHeight="1" x14ac:dyDescent="0.2">
      <c r="A25" s="31">
        <v>572</v>
      </c>
      <c r="B25" s="37" t="s">
        <v>31</v>
      </c>
      <c r="C25" s="32">
        <v>2323.1999999999998</v>
      </c>
      <c r="D25" s="32">
        <v>387.2</v>
      </c>
      <c r="E25" s="32" t="s">
        <v>3</v>
      </c>
      <c r="F25" s="32" t="s">
        <v>3</v>
      </c>
      <c r="G25" s="32" t="s">
        <v>3</v>
      </c>
      <c r="H25" s="32">
        <v>212.23</v>
      </c>
      <c r="I25" s="32">
        <v>69.930000000000007</v>
      </c>
      <c r="J25" s="32">
        <v>2525</v>
      </c>
      <c r="K25" s="32" t="s">
        <v>3</v>
      </c>
      <c r="L25" s="32" t="s">
        <v>3</v>
      </c>
      <c r="M25" s="32" t="s">
        <v>3</v>
      </c>
      <c r="N25" s="32" t="s">
        <v>3</v>
      </c>
      <c r="O25" s="47"/>
    </row>
    <row r="26" spans="1:15" s="3" customFormat="1" x14ac:dyDescent="0.2">
      <c r="A26" s="63">
        <v>574</v>
      </c>
      <c r="B26" s="64" t="s">
        <v>32</v>
      </c>
      <c r="C26" s="65" t="s">
        <v>3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 t="s">
        <v>264</v>
      </c>
    </row>
    <row r="27" spans="1:15" s="3" customFormat="1" x14ac:dyDescent="0.2">
      <c r="A27" s="31">
        <v>616</v>
      </c>
      <c r="B27" s="37" t="s">
        <v>33</v>
      </c>
      <c r="C27" s="32">
        <v>2009.76</v>
      </c>
      <c r="D27" s="32">
        <v>334.96</v>
      </c>
      <c r="E27" s="32" t="s">
        <v>3</v>
      </c>
      <c r="F27" s="32" t="s">
        <v>3</v>
      </c>
      <c r="G27" s="32" t="s">
        <v>3</v>
      </c>
      <c r="H27" s="32">
        <v>48.98</v>
      </c>
      <c r="I27" s="32">
        <v>59.12</v>
      </c>
      <c r="J27" s="32">
        <v>2320.1999999999998</v>
      </c>
      <c r="K27" s="32" t="s">
        <v>3</v>
      </c>
      <c r="L27" s="32" t="s">
        <v>3</v>
      </c>
      <c r="M27" s="32" t="s">
        <v>3</v>
      </c>
      <c r="N27" s="32" t="s">
        <v>3</v>
      </c>
      <c r="O27" s="62"/>
    </row>
    <row r="28" spans="1:15" s="3" customFormat="1" ht="15" customHeight="1" x14ac:dyDescent="0.2">
      <c r="A28" s="31">
        <v>624</v>
      </c>
      <c r="B28" s="37" t="s">
        <v>34</v>
      </c>
      <c r="C28" s="32">
        <v>1890.24</v>
      </c>
      <c r="D28" s="32">
        <v>315.04000000000002</v>
      </c>
      <c r="E28" s="32" t="s">
        <v>3</v>
      </c>
      <c r="F28" s="32" t="s">
        <v>3</v>
      </c>
      <c r="G28" s="32" t="s">
        <v>3</v>
      </c>
      <c r="H28" s="32" t="s">
        <v>3</v>
      </c>
      <c r="I28" s="32" t="s">
        <v>3</v>
      </c>
      <c r="J28" s="32">
        <v>2284</v>
      </c>
      <c r="K28" s="32" t="s">
        <v>3</v>
      </c>
      <c r="L28" s="32" t="s">
        <v>3</v>
      </c>
      <c r="M28" s="32" t="s">
        <v>3</v>
      </c>
      <c r="N28" s="32" t="s">
        <v>3</v>
      </c>
      <c r="O28" s="47"/>
    </row>
    <row r="29" spans="1:15" s="3" customFormat="1" x14ac:dyDescent="0.2">
      <c r="A29" s="31">
        <v>646</v>
      </c>
      <c r="B29" s="37" t="s">
        <v>35</v>
      </c>
      <c r="C29" s="32">
        <v>1890.24</v>
      </c>
      <c r="D29" s="32">
        <v>315.04000000000002</v>
      </c>
      <c r="E29" s="32" t="s">
        <v>3</v>
      </c>
      <c r="F29" s="32" t="s">
        <v>3</v>
      </c>
      <c r="G29" s="32" t="s">
        <v>3</v>
      </c>
      <c r="H29" s="32" t="s">
        <v>3</v>
      </c>
      <c r="I29" s="32" t="s">
        <v>3</v>
      </c>
      <c r="J29" s="32">
        <v>2284</v>
      </c>
      <c r="K29" s="32" t="s">
        <v>3</v>
      </c>
      <c r="L29" s="32" t="s">
        <v>3</v>
      </c>
      <c r="M29" s="32" t="s">
        <v>3</v>
      </c>
      <c r="N29" s="32" t="s">
        <v>3</v>
      </c>
      <c r="O29" s="24"/>
    </row>
    <row r="30" spans="1:15" s="3" customFormat="1" ht="15" customHeight="1" x14ac:dyDescent="0.2">
      <c r="A30" s="31">
        <v>668</v>
      </c>
      <c r="B30" s="37" t="s">
        <v>51</v>
      </c>
      <c r="C30" s="32">
        <v>1890.24</v>
      </c>
      <c r="D30" s="32">
        <v>315.04000000000002</v>
      </c>
      <c r="E30" s="32" t="s">
        <v>3</v>
      </c>
      <c r="F30" s="32" t="s">
        <v>3</v>
      </c>
      <c r="G30" s="32" t="s">
        <v>3</v>
      </c>
      <c r="H30" s="32" t="s">
        <v>3</v>
      </c>
      <c r="I30" s="32" t="s">
        <v>3</v>
      </c>
      <c r="J30" s="32">
        <v>2284</v>
      </c>
      <c r="K30" s="32" t="s">
        <v>3</v>
      </c>
      <c r="L30" s="32" t="s">
        <v>3</v>
      </c>
      <c r="M30" s="32" t="s">
        <v>3</v>
      </c>
      <c r="N30" s="32" t="s">
        <v>3</v>
      </c>
      <c r="O30" s="24"/>
    </row>
    <row r="31" spans="1:15" s="3" customFormat="1" ht="15" customHeight="1" x14ac:dyDescent="0.2">
      <c r="A31" s="31">
        <v>677</v>
      </c>
      <c r="B31" s="37" t="s">
        <v>36</v>
      </c>
      <c r="C31" s="32">
        <v>1890.24</v>
      </c>
      <c r="D31" s="32">
        <v>315.04000000000002</v>
      </c>
      <c r="E31" s="32" t="s">
        <v>3</v>
      </c>
      <c r="F31" s="32" t="s">
        <v>3</v>
      </c>
      <c r="G31" s="32" t="s">
        <v>3</v>
      </c>
      <c r="H31" s="32" t="s">
        <v>3</v>
      </c>
      <c r="I31" s="32" t="s">
        <v>3</v>
      </c>
      <c r="J31" s="32">
        <v>2284</v>
      </c>
      <c r="K31" s="32" t="s">
        <v>3</v>
      </c>
      <c r="L31" s="32" t="s">
        <v>3</v>
      </c>
      <c r="M31" s="32" t="s">
        <v>3</v>
      </c>
      <c r="N31" s="32" t="s">
        <v>3</v>
      </c>
      <c r="O31" s="24"/>
    </row>
    <row r="32" spans="1:15" s="3" customFormat="1" x14ac:dyDescent="0.2">
      <c r="A32" s="31">
        <v>683</v>
      </c>
      <c r="B32" s="37" t="s">
        <v>37</v>
      </c>
      <c r="C32" s="32">
        <v>2323.1999999999998</v>
      </c>
      <c r="D32" s="32">
        <v>387.2</v>
      </c>
      <c r="E32" s="32" t="s">
        <v>3</v>
      </c>
      <c r="F32" s="32" t="s">
        <v>3</v>
      </c>
      <c r="G32" s="32" t="s">
        <v>3</v>
      </c>
      <c r="H32" s="32">
        <v>212.23</v>
      </c>
      <c r="I32" s="32">
        <v>69.430000000000007</v>
      </c>
      <c r="J32" s="32">
        <v>2525.4</v>
      </c>
      <c r="K32" s="32" t="s">
        <v>3</v>
      </c>
      <c r="L32" s="32" t="s">
        <v>3</v>
      </c>
      <c r="M32" s="32" t="s">
        <v>3</v>
      </c>
      <c r="N32" s="32" t="s">
        <v>3</v>
      </c>
      <c r="O32" s="24"/>
    </row>
    <row r="33" spans="1:15" s="3" customFormat="1" ht="15" customHeight="1" x14ac:dyDescent="0.2">
      <c r="A33" s="31">
        <v>696</v>
      </c>
      <c r="B33" s="37" t="s">
        <v>38</v>
      </c>
      <c r="C33" s="32">
        <v>1890.24</v>
      </c>
      <c r="D33" s="32">
        <v>315.04000000000002</v>
      </c>
      <c r="E33" s="32" t="s">
        <v>3</v>
      </c>
      <c r="F33" s="32" t="s">
        <v>3</v>
      </c>
      <c r="G33" s="32" t="s">
        <v>3</v>
      </c>
      <c r="H33" s="32" t="s">
        <v>3</v>
      </c>
      <c r="I33" s="32" t="s">
        <v>3</v>
      </c>
      <c r="J33" s="32">
        <v>2284</v>
      </c>
      <c r="K33" s="32" t="s">
        <v>3</v>
      </c>
      <c r="L33" s="32" t="s">
        <v>3</v>
      </c>
      <c r="M33" s="32" t="s">
        <v>3</v>
      </c>
      <c r="N33" s="32" t="s">
        <v>3</v>
      </c>
      <c r="O33" s="47"/>
    </row>
    <row r="34" spans="1:15" s="3" customFormat="1" ht="15" customHeight="1" x14ac:dyDescent="0.2">
      <c r="A34" s="31">
        <v>697</v>
      </c>
      <c r="B34" s="37" t="s">
        <v>87</v>
      </c>
      <c r="C34" s="32">
        <v>1890.24</v>
      </c>
      <c r="D34" s="32">
        <v>315.04000000000002</v>
      </c>
      <c r="E34" s="32" t="s">
        <v>3</v>
      </c>
      <c r="F34" s="32" t="s">
        <v>3</v>
      </c>
      <c r="G34" s="32" t="s">
        <v>3</v>
      </c>
      <c r="H34" s="32" t="s">
        <v>3</v>
      </c>
      <c r="I34" s="32" t="s">
        <v>3</v>
      </c>
      <c r="J34" s="32">
        <v>2284</v>
      </c>
      <c r="K34" s="32" t="s">
        <v>3</v>
      </c>
      <c r="L34" s="32" t="s">
        <v>3</v>
      </c>
      <c r="M34" s="32" t="s">
        <v>3</v>
      </c>
      <c r="N34" s="32" t="s">
        <v>3</v>
      </c>
      <c r="O34" s="24"/>
    </row>
    <row r="35" spans="1:15" s="3" customFormat="1" ht="15" customHeight="1" x14ac:dyDescent="0.2">
      <c r="A35" s="31">
        <v>712</v>
      </c>
      <c r="B35" s="37" t="s">
        <v>39</v>
      </c>
      <c r="C35" s="32">
        <v>1890.24</v>
      </c>
      <c r="D35" s="32">
        <v>315.04000000000002</v>
      </c>
      <c r="E35" s="32" t="s">
        <v>3</v>
      </c>
      <c r="F35" s="32" t="s">
        <v>3</v>
      </c>
      <c r="G35" s="32" t="s">
        <v>3</v>
      </c>
      <c r="H35" s="32" t="s">
        <v>3</v>
      </c>
      <c r="I35" s="32" t="s">
        <v>3</v>
      </c>
      <c r="J35" s="32">
        <v>2284</v>
      </c>
      <c r="K35" s="32" t="s">
        <v>3</v>
      </c>
      <c r="L35" s="32" t="s">
        <v>3</v>
      </c>
      <c r="M35" s="32" t="s">
        <v>3</v>
      </c>
      <c r="N35" s="32" t="s">
        <v>3</v>
      </c>
      <c r="O35" s="47"/>
    </row>
    <row r="36" spans="1:15" s="3" customFormat="1" ht="15" customHeight="1" x14ac:dyDescent="0.2">
      <c r="A36" s="31">
        <v>714</v>
      </c>
      <c r="B36" s="37" t="s">
        <v>40</v>
      </c>
      <c r="C36" s="32">
        <v>1890.24</v>
      </c>
      <c r="D36" s="32">
        <v>315.04000000000002</v>
      </c>
      <c r="E36" s="32" t="s">
        <v>3</v>
      </c>
      <c r="F36" s="32" t="s">
        <v>3</v>
      </c>
      <c r="G36" s="32" t="s">
        <v>3</v>
      </c>
      <c r="H36" s="32" t="s">
        <v>3</v>
      </c>
      <c r="I36" s="32" t="s">
        <v>3</v>
      </c>
      <c r="J36" s="32">
        <v>2284.1999999999998</v>
      </c>
      <c r="K36" s="32" t="s">
        <v>3</v>
      </c>
      <c r="L36" s="32" t="s">
        <v>3</v>
      </c>
      <c r="M36" s="32" t="s">
        <v>3</v>
      </c>
      <c r="N36" s="32" t="s">
        <v>3</v>
      </c>
      <c r="O36" s="24"/>
    </row>
    <row r="37" spans="1:15" s="3" customFormat="1" ht="15" customHeight="1" x14ac:dyDescent="0.2">
      <c r="A37" s="31">
        <v>727</v>
      </c>
      <c r="B37" s="37" t="s">
        <v>41</v>
      </c>
      <c r="C37" s="32">
        <v>1890.24</v>
      </c>
      <c r="D37" s="32">
        <v>315.04000000000002</v>
      </c>
      <c r="E37" s="32" t="s">
        <v>3</v>
      </c>
      <c r="F37" s="32" t="s">
        <v>3</v>
      </c>
      <c r="G37" s="32" t="s">
        <v>3</v>
      </c>
      <c r="H37" s="32" t="s">
        <v>3</v>
      </c>
      <c r="I37" s="32" t="s">
        <v>3</v>
      </c>
      <c r="J37" s="32">
        <v>2284</v>
      </c>
      <c r="K37" s="32" t="s">
        <v>3</v>
      </c>
      <c r="L37" s="32" t="s">
        <v>3</v>
      </c>
      <c r="M37" s="32" t="s">
        <v>3</v>
      </c>
      <c r="N37" s="32" t="s">
        <v>3</v>
      </c>
      <c r="O37" s="24"/>
    </row>
    <row r="38" spans="1:15" s="3" customFormat="1" ht="15" customHeight="1" x14ac:dyDescent="0.2">
      <c r="A38" s="53">
        <v>733</v>
      </c>
      <c r="B38" s="54" t="s">
        <v>220</v>
      </c>
      <c r="C38" s="55">
        <v>1890.24</v>
      </c>
      <c r="D38" s="55">
        <v>315.04000000000002</v>
      </c>
      <c r="E38" s="55" t="s">
        <v>3</v>
      </c>
      <c r="F38" s="55" t="s">
        <v>3</v>
      </c>
      <c r="G38" s="55" t="s">
        <v>3</v>
      </c>
      <c r="H38" s="55" t="s">
        <v>3</v>
      </c>
      <c r="I38" s="55" t="s">
        <v>3</v>
      </c>
      <c r="J38" s="55">
        <v>2284</v>
      </c>
      <c r="K38" s="55" t="s">
        <v>3</v>
      </c>
      <c r="L38" s="55" t="s">
        <v>3</v>
      </c>
      <c r="M38" s="55" t="s">
        <v>3</v>
      </c>
      <c r="N38" s="55" t="s">
        <v>3</v>
      </c>
      <c r="O38" s="24"/>
    </row>
    <row r="39" spans="1:15" s="3" customFormat="1" x14ac:dyDescent="0.2">
      <c r="A39" s="31">
        <v>742</v>
      </c>
      <c r="B39" s="37" t="s">
        <v>49</v>
      </c>
      <c r="C39" s="32">
        <v>1890.24</v>
      </c>
      <c r="D39" s="32">
        <v>315.04000000000002</v>
      </c>
      <c r="E39" s="32" t="s">
        <v>3</v>
      </c>
      <c r="F39" s="32" t="s">
        <v>3</v>
      </c>
      <c r="G39" s="32" t="s">
        <v>3</v>
      </c>
      <c r="H39" s="32" t="s">
        <v>3</v>
      </c>
      <c r="I39" s="32" t="s">
        <v>3</v>
      </c>
      <c r="J39" s="32">
        <v>2284.1999999999998</v>
      </c>
      <c r="K39" s="32" t="s">
        <v>3</v>
      </c>
      <c r="L39" s="32" t="s">
        <v>3</v>
      </c>
      <c r="M39" s="32" t="s">
        <v>3</v>
      </c>
      <c r="N39" s="32" t="s">
        <v>3</v>
      </c>
      <c r="O39" s="24"/>
    </row>
    <row r="40" spans="1:15" s="3" customFormat="1" x14ac:dyDescent="0.2">
      <c r="A40" s="63">
        <v>743</v>
      </c>
      <c r="B40" s="64" t="s">
        <v>50</v>
      </c>
      <c r="C40" s="65">
        <v>1575.2</v>
      </c>
      <c r="D40" s="65">
        <v>315.04000000000002</v>
      </c>
      <c r="E40" s="65" t="s">
        <v>3</v>
      </c>
      <c r="F40" s="65" t="s">
        <v>3</v>
      </c>
      <c r="G40" s="65" t="s">
        <v>3</v>
      </c>
      <c r="H40" s="65" t="s">
        <v>3</v>
      </c>
      <c r="I40" s="65" t="s">
        <v>3</v>
      </c>
      <c r="J40" s="65">
        <v>2362.8000000000002</v>
      </c>
      <c r="K40" s="65">
        <v>315.04000000000002</v>
      </c>
      <c r="L40" s="65">
        <v>78.760000000000005</v>
      </c>
      <c r="M40" s="65" t="s">
        <v>3</v>
      </c>
      <c r="N40" s="65" t="s">
        <v>3</v>
      </c>
      <c r="O40" s="66" t="s">
        <v>265</v>
      </c>
    </row>
    <row r="41" spans="1:15" s="3" customFormat="1" x14ac:dyDescent="0.2">
      <c r="A41" s="31">
        <v>747</v>
      </c>
      <c r="B41" s="37" t="s">
        <v>52</v>
      </c>
      <c r="C41" s="32">
        <v>2009.76</v>
      </c>
      <c r="D41" s="32">
        <v>334.96</v>
      </c>
      <c r="E41" s="32" t="s">
        <v>3</v>
      </c>
      <c r="F41" s="32" t="s">
        <v>3</v>
      </c>
      <c r="G41" s="32" t="s">
        <v>3</v>
      </c>
      <c r="H41" s="32">
        <v>48.98</v>
      </c>
      <c r="I41" s="32">
        <v>58.78</v>
      </c>
      <c r="J41" s="32">
        <v>2320.8000000000002</v>
      </c>
      <c r="K41" s="32" t="s">
        <v>3</v>
      </c>
      <c r="L41" s="32" t="s">
        <v>3</v>
      </c>
      <c r="M41" s="32" t="s">
        <v>3</v>
      </c>
      <c r="N41" s="32" t="s">
        <v>3</v>
      </c>
      <c r="O41" s="24"/>
    </row>
    <row r="42" spans="1:15" s="3" customFormat="1" x14ac:dyDescent="0.2">
      <c r="A42" s="31">
        <v>772</v>
      </c>
      <c r="B42" s="37" t="s">
        <v>89</v>
      </c>
      <c r="C42" s="32">
        <v>1890.24</v>
      </c>
      <c r="D42" s="32">
        <v>315.04000000000002</v>
      </c>
      <c r="E42" s="32" t="s">
        <v>3</v>
      </c>
      <c r="F42" s="32" t="s">
        <v>3</v>
      </c>
      <c r="G42" s="32" t="s">
        <v>3</v>
      </c>
      <c r="H42" s="32" t="s">
        <v>3</v>
      </c>
      <c r="I42" s="32" t="s">
        <v>3</v>
      </c>
      <c r="J42" s="32">
        <v>2284</v>
      </c>
      <c r="K42" s="32" t="s">
        <v>3</v>
      </c>
      <c r="L42" s="32" t="s">
        <v>3</v>
      </c>
      <c r="M42" s="32" t="s">
        <v>3</v>
      </c>
      <c r="N42" s="32" t="s">
        <v>3</v>
      </c>
      <c r="O42" s="24"/>
    </row>
    <row r="43" spans="1:15" s="3" customFormat="1" x14ac:dyDescent="0.2">
      <c r="A43" s="56">
        <v>773</v>
      </c>
      <c r="B43" s="57" t="s">
        <v>53</v>
      </c>
      <c r="C43" s="58" t="s">
        <v>3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9" t="s">
        <v>234</v>
      </c>
    </row>
    <row r="44" spans="1:15" s="3" customFormat="1" x14ac:dyDescent="0.2">
      <c r="A44" s="31">
        <v>789</v>
      </c>
      <c r="B44" s="37" t="s">
        <v>85</v>
      </c>
      <c r="C44" s="32">
        <v>1890.24</v>
      </c>
      <c r="D44" s="32">
        <v>315.04000000000002</v>
      </c>
      <c r="E44" s="32" t="s">
        <v>3</v>
      </c>
      <c r="F44" s="32" t="s">
        <v>3</v>
      </c>
      <c r="G44" s="32" t="s">
        <v>3</v>
      </c>
      <c r="H44" s="32" t="s">
        <v>3</v>
      </c>
      <c r="I44" s="32" t="s">
        <v>3</v>
      </c>
      <c r="J44" s="32">
        <v>2284</v>
      </c>
      <c r="K44" s="32" t="s">
        <v>3</v>
      </c>
      <c r="L44" s="32" t="s">
        <v>3</v>
      </c>
      <c r="M44" s="32" t="s">
        <v>3</v>
      </c>
      <c r="N44" s="32" t="s">
        <v>3</v>
      </c>
      <c r="O44" s="24"/>
    </row>
    <row r="45" spans="1:15" s="3" customFormat="1" x14ac:dyDescent="0.2">
      <c r="A45" s="31">
        <v>795</v>
      </c>
      <c r="B45" s="37" t="s">
        <v>86</v>
      </c>
      <c r="C45" s="32">
        <v>1890.24</v>
      </c>
      <c r="D45" s="32">
        <v>315.04000000000002</v>
      </c>
      <c r="E45" s="32" t="s">
        <v>3</v>
      </c>
      <c r="F45" s="32" t="s">
        <v>3</v>
      </c>
      <c r="G45" s="32" t="s">
        <v>3</v>
      </c>
      <c r="H45" s="32" t="s">
        <v>3</v>
      </c>
      <c r="I45" s="32" t="s">
        <v>3</v>
      </c>
      <c r="J45" s="32">
        <v>2284</v>
      </c>
      <c r="K45" s="32" t="s">
        <v>3</v>
      </c>
      <c r="L45" s="32" t="s">
        <v>3</v>
      </c>
      <c r="M45" s="32" t="s">
        <v>3</v>
      </c>
      <c r="N45" s="32" t="s">
        <v>3</v>
      </c>
      <c r="O45" s="24"/>
    </row>
    <row r="46" spans="1:15" s="3" customFormat="1" x14ac:dyDescent="0.2">
      <c r="A46" s="31">
        <v>798</v>
      </c>
      <c r="B46" s="37" t="s">
        <v>88</v>
      </c>
      <c r="C46" s="32">
        <v>2009.76</v>
      </c>
      <c r="D46" s="32">
        <v>334.96</v>
      </c>
      <c r="E46" s="32" t="s">
        <v>3</v>
      </c>
      <c r="F46" s="32" t="s">
        <v>3</v>
      </c>
      <c r="G46" s="32" t="s">
        <v>3</v>
      </c>
      <c r="H46" s="32">
        <v>48.98</v>
      </c>
      <c r="I46" s="32">
        <v>58.78</v>
      </c>
      <c r="J46" s="32">
        <v>2320.8000000000002</v>
      </c>
      <c r="K46" s="32" t="s">
        <v>3</v>
      </c>
      <c r="L46" s="32" t="s">
        <v>3</v>
      </c>
      <c r="M46" s="32" t="s">
        <v>3</v>
      </c>
      <c r="N46" s="32" t="s">
        <v>3</v>
      </c>
      <c r="O46" s="24"/>
    </row>
    <row r="47" spans="1:15" s="3" customFormat="1" x14ac:dyDescent="0.2">
      <c r="A47" s="31">
        <v>808</v>
      </c>
      <c r="B47" s="37" t="s">
        <v>229</v>
      </c>
      <c r="C47" s="32">
        <v>1890.24</v>
      </c>
      <c r="D47" s="32">
        <v>315.04000000000002</v>
      </c>
      <c r="E47" s="32" t="s">
        <v>3</v>
      </c>
      <c r="F47" s="32" t="s">
        <v>3</v>
      </c>
      <c r="G47" s="32" t="s">
        <v>3</v>
      </c>
      <c r="H47" s="32" t="s">
        <v>3</v>
      </c>
      <c r="I47" s="32" t="s">
        <v>3</v>
      </c>
      <c r="J47" s="32">
        <v>2284</v>
      </c>
      <c r="K47" s="32" t="s">
        <v>3</v>
      </c>
      <c r="L47" s="32" t="s">
        <v>3</v>
      </c>
      <c r="M47" s="32" t="s">
        <v>3</v>
      </c>
      <c r="N47" s="32" t="s">
        <v>3</v>
      </c>
      <c r="O47" s="24"/>
    </row>
    <row r="48" spans="1:15" s="3" customFormat="1" ht="15" customHeight="1" x14ac:dyDescent="0.2">
      <c r="A48" s="31">
        <v>810</v>
      </c>
      <c r="B48" s="37" t="s">
        <v>97</v>
      </c>
      <c r="C48" s="32">
        <v>1890.24</v>
      </c>
      <c r="D48" s="32">
        <v>315.04000000000002</v>
      </c>
      <c r="E48" s="32" t="s">
        <v>3</v>
      </c>
      <c r="F48" s="32" t="s">
        <v>3</v>
      </c>
      <c r="G48" s="32" t="s">
        <v>3</v>
      </c>
      <c r="H48" s="32" t="s">
        <v>3</v>
      </c>
      <c r="I48" s="32" t="s">
        <v>3</v>
      </c>
      <c r="J48" s="32">
        <v>2284.1999999999998</v>
      </c>
      <c r="K48" s="32" t="s">
        <v>3</v>
      </c>
      <c r="L48" s="32" t="s">
        <v>3</v>
      </c>
      <c r="M48" s="32" t="s">
        <v>3</v>
      </c>
      <c r="N48" s="32" t="s">
        <v>3</v>
      </c>
      <c r="O48" s="24"/>
    </row>
    <row r="49" spans="1:15" s="3" customFormat="1" ht="15" customHeight="1" x14ac:dyDescent="0.2">
      <c r="A49" s="31">
        <v>823</v>
      </c>
      <c r="B49" s="37" t="s">
        <v>98</v>
      </c>
      <c r="C49" s="32">
        <v>1890.24</v>
      </c>
      <c r="D49" s="32">
        <v>315.04000000000002</v>
      </c>
      <c r="E49" s="32" t="s">
        <v>3</v>
      </c>
      <c r="F49" s="32" t="s">
        <v>3</v>
      </c>
      <c r="G49" s="32" t="s">
        <v>3</v>
      </c>
      <c r="H49" s="32" t="s">
        <v>3</v>
      </c>
      <c r="I49" s="32" t="s">
        <v>3</v>
      </c>
      <c r="J49" s="32">
        <v>2284</v>
      </c>
      <c r="K49" s="32" t="s">
        <v>3</v>
      </c>
      <c r="L49" s="32" t="s">
        <v>3</v>
      </c>
      <c r="M49" s="32" t="s">
        <v>3</v>
      </c>
      <c r="N49" s="32" t="s">
        <v>3</v>
      </c>
      <c r="O49" s="24"/>
    </row>
    <row r="50" spans="1:15" s="3" customFormat="1" x14ac:dyDescent="0.2">
      <c r="A50" s="31">
        <v>839</v>
      </c>
      <c r="B50" s="37" t="s">
        <v>180</v>
      </c>
      <c r="C50" s="32">
        <v>1260.1600000000001</v>
      </c>
      <c r="D50" s="32">
        <v>210.03</v>
      </c>
      <c r="E50" s="32" t="s">
        <v>3</v>
      </c>
      <c r="F50" s="32" t="s">
        <v>3</v>
      </c>
      <c r="G50" s="32" t="s">
        <v>3</v>
      </c>
      <c r="H50" s="32" t="s">
        <v>3</v>
      </c>
      <c r="I50" s="32" t="s">
        <v>3</v>
      </c>
      <c r="J50" s="32">
        <v>1549</v>
      </c>
      <c r="K50" s="32" t="s">
        <v>3</v>
      </c>
      <c r="L50" s="32" t="s">
        <v>3</v>
      </c>
      <c r="M50" s="32" t="s">
        <v>3</v>
      </c>
      <c r="N50" s="32" t="s">
        <v>3</v>
      </c>
      <c r="O50" s="24"/>
    </row>
    <row r="51" spans="1:15" s="3" customFormat="1" x14ac:dyDescent="0.2">
      <c r="A51" s="31">
        <v>855</v>
      </c>
      <c r="B51" s="37" t="s">
        <v>230</v>
      </c>
      <c r="C51" s="32">
        <v>1890.24</v>
      </c>
      <c r="D51" s="32">
        <v>315.04000000000002</v>
      </c>
      <c r="E51" s="32" t="s">
        <v>3</v>
      </c>
      <c r="F51" s="32" t="s">
        <v>3</v>
      </c>
      <c r="G51" s="32" t="s">
        <v>3</v>
      </c>
      <c r="H51" s="32" t="s">
        <v>3</v>
      </c>
      <c r="I51" s="32" t="s">
        <v>3</v>
      </c>
      <c r="J51" s="32">
        <v>2284</v>
      </c>
      <c r="K51" s="32" t="s">
        <v>3</v>
      </c>
      <c r="L51" s="32" t="s">
        <v>3</v>
      </c>
      <c r="M51" s="32" t="s">
        <v>3</v>
      </c>
      <c r="N51" s="32" t="s">
        <v>3</v>
      </c>
      <c r="O51" s="24"/>
    </row>
    <row r="52" spans="1:15" s="3" customFormat="1" x14ac:dyDescent="0.2">
      <c r="A52" s="31">
        <v>862</v>
      </c>
      <c r="B52" s="37" t="s">
        <v>209</v>
      </c>
      <c r="C52" s="32">
        <v>1890.24</v>
      </c>
      <c r="D52" s="32">
        <v>315.04000000000002</v>
      </c>
      <c r="E52" s="32" t="s">
        <v>3</v>
      </c>
      <c r="F52" s="32" t="s">
        <v>3</v>
      </c>
      <c r="G52" s="32" t="s">
        <v>3</v>
      </c>
      <c r="H52" s="32" t="s">
        <v>3</v>
      </c>
      <c r="I52" s="32" t="s">
        <v>3</v>
      </c>
      <c r="J52" s="32">
        <v>2284</v>
      </c>
      <c r="K52" s="32" t="s">
        <v>3</v>
      </c>
      <c r="L52" s="32" t="s">
        <v>3</v>
      </c>
      <c r="M52" s="32" t="s">
        <v>3</v>
      </c>
      <c r="N52" s="32" t="s">
        <v>3</v>
      </c>
      <c r="O52" s="24"/>
    </row>
    <row r="53" spans="1:15" s="3" customFormat="1" x14ac:dyDescent="0.2">
      <c r="A53" s="31">
        <v>869</v>
      </c>
      <c r="B53" s="37" t="s">
        <v>188</v>
      </c>
      <c r="C53" s="32">
        <v>1890.24</v>
      </c>
      <c r="D53" s="32">
        <v>315.04000000000002</v>
      </c>
      <c r="E53" s="32" t="s">
        <v>3</v>
      </c>
      <c r="F53" s="32" t="s">
        <v>3</v>
      </c>
      <c r="G53" s="32" t="s">
        <v>3</v>
      </c>
      <c r="H53" s="32" t="s">
        <v>3</v>
      </c>
      <c r="I53" s="32" t="s">
        <v>3</v>
      </c>
      <c r="J53" s="32">
        <v>2284</v>
      </c>
      <c r="K53" s="32" t="s">
        <v>3</v>
      </c>
      <c r="L53" s="32" t="s">
        <v>3</v>
      </c>
      <c r="M53" s="32" t="s">
        <v>3</v>
      </c>
      <c r="N53" s="32" t="s">
        <v>3</v>
      </c>
      <c r="O53" s="28"/>
    </row>
    <row r="54" spans="1:15" s="3" customFormat="1" x14ac:dyDescent="0.2">
      <c r="A54" s="31">
        <v>879</v>
      </c>
      <c r="B54" s="37" t="s">
        <v>189</v>
      </c>
      <c r="C54" s="32">
        <v>1890.24</v>
      </c>
      <c r="D54" s="32">
        <v>315.04000000000002</v>
      </c>
      <c r="E54" s="32" t="s">
        <v>3</v>
      </c>
      <c r="F54" s="32" t="s">
        <v>3</v>
      </c>
      <c r="G54" s="32" t="s">
        <v>3</v>
      </c>
      <c r="H54" s="32" t="s">
        <v>3</v>
      </c>
      <c r="I54" s="32" t="s">
        <v>3</v>
      </c>
      <c r="J54" s="32">
        <v>2284.1999999999998</v>
      </c>
      <c r="K54" s="32" t="s">
        <v>3</v>
      </c>
      <c r="L54" s="32" t="s">
        <v>3</v>
      </c>
      <c r="M54" s="32" t="s">
        <v>3</v>
      </c>
      <c r="N54" s="32" t="s">
        <v>3</v>
      </c>
      <c r="O54" s="24"/>
    </row>
    <row r="55" spans="1:15" s="3" customFormat="1" x14ac:dyDescent="0.2">
      <c r="A55" s="31">
        <v>883</v>
      </c>
      <c r="B55" s="37" t="s">
        <v>193</v>
      </c>
      <c r="C55" s="32">
        <v>945.12</v>
      </c>
      <c r="D55" s="32">
        <v>157.52000000000001</v>
      </c>
      <c r="E55" s="32" t="s">
        <v>3</v>
      </c>
      <c r="F55" s="32" t="s">
        <v>3</v>
      </c>
      <c r="G55" s="32" t="s">
        <v>3</v>
      </c>
      <c r="H55" s="32" t="s">
        <v>3</v>
      </c>
      <c r="I55" s="32" t="s">
        <v>3</v>
      </c>
      <c r="J55" s="32">
        <v>1102.5999999999999</v>
      </c>
      <c r="K55" s="32" t="s">
        <v>3</v>
      </c>
      <c r="L55" s="32" t="s">
        <v>3</v>
      </c>
      <c r="M55" s="32" t="s">
        <v>3</v>
      </c>
      <c r="N55" s="32" t="s">
        <v>3</v>
      </c>
      <c r="O55" s="24"/>
    </row>
    <row r="56" spans="1:15" s="3" customFormat="1" x14ac:dyDescent="0.2">
      <c r="A56" s="31">
        <v>889</v>
      </c>
      <c r="B56" s="37" t="s">
        <v>194</v>
      </c>
      <c r="C56" s="32">
        <v>1890.24</v>
      </c>
      <c r="D56" s="32">
        <v>315.04000000000002</v>
      </c>
      <c r="E56" s="32" t="s">
        <v>3</v>
      </c>
      <c r="F56" s="32" t="s">
        <v>3</v>
      </c>
      <c r="G56" s="32" t="s">
        <v>3</v>
      </c>
      <c r="H56" s="32" t="s">
        <v>3</v>
      </c>
      <c r="I56" s="32" t="s">
        <v>3</v>
      </c>
      <c r="J56" s="32">
        <v>2284</v>
      </c>
      <c r="K56" s="32" t="s">
        <v>3</v>
      </c>
      <c r="L56" s="32" t="s">
        <v>3</v>
      </c>
      <c r="M56" s="32" t="s">
        <v>3</v>
      </c>
      <c r="N56" s="32" t="s">
        <v>3</v>
      </c>
      <c r="O56" s="24"/>
    </row>
    <row r="57" spans="1:15" s="3" customFormat="1" ht="15" customHeight="1" x14ac:dyDescent="0.2">
      <c r="A57" s="31">
        <v>896</v>
      </c>
      <c r="B57" s="37" t="s">
        <v>203</v>
      </c>
      <c r="C57" s="32">
        <v>1890.24</v>
      </c>
      <c r="D57" s="32">
        <v>315.04000000000002</v>
      </c>
      <c r="E57" s="32" t="s">
        <v>3</v>
      </c>
      <c r="F57" s="32" t="s">
        <v>3</v>
      </c>
      <c r="G57" s="32" t="s">
        <v>3</v>
      </c>
      <c r="H57" s="32" t="s">
        <v>3</v>
      </c>
      <c r="I57" s="32" t="s">
        <v>3</v>
      </c>
      <c r="J57" s="32">
        <v>2284</v>
      </c>
      <c r="K57" s="32" t="s">
        <v>3</v>
      </c>
      <c r="L57" s="32" t="s">
        <v>3</v>
      </c>
      <c r="M57" s="32" t="s">
        <v>3</v>
      </c>
      <c r="N57" s="32" t="s">
        <v>3</v>
      </c>
      <c r="O57" s="24"/>
    </row>
    <row r="58" spans="1:15" s="3" customFormat="1" ht="15" customHeight="1" x14ac:dyDescent="0.2">
      <c r="A58" s="31">
        <v>897</v>
      </c>
      <c r="B58" s="37" t="s">
        <v>204</v>
      </c>
      <c r="C58" s="32">
        <v>1260.1600000000001</v>
      </c>
      <c r="D58" s="32">
        <v>210.03</v>
      </c>
      <c r="E58" s="32" t="s">
        <v>3</v>
      </c>
      <c r="F58" s="32" t="s">
        <v>3</v>
      </c>
      <c r="G58" s="32" t="s">
        <v>3</v>
      </c>
      <c r="H58" s="32" t="s">
        <v>3</v>
      </c>
      <c r="I58" s="32" t="s">
        <v>3</v>
      </c>
      <c r="J58" s="32">
        <v>1548.8</v>
      </c>
      <c r="K58" s="32" t="s">
        <v>3</v>
      </c>
      <c r="L58" s="32" t="s">
        <v>3</v>
      </c>
      <c r="M58" s="32" t="s">
        <v>3</v>
      </c>
      <c r="N58" s="32" t="s">
        <v>3</v>
      </c>
      <c r="O58" s="28"/>
    </row>
    <row r="59" spans="1:15" s="3" customFormat="1" x14ac:dyDescent="0.2">
      <c r="A59" s="31">
        <v>901</v>
      </c>
      <c r="B59" s="37" t="s">
        <v>205</v>
      </c>
      <c r="C59" s="32">
        <v>945.12</v>
      </c>
      <c r="D59" s="32">
        <v>157.52000000000001</v>
      </c>
      <c r="E59" s="32" t="s">
        <v>3</v>
      </c>
      <c r="F59" s="32" t="s">
        <v>3</v>
      </c>
      <c r="G59" s="32" t="s">
        <v>3</v>
      </c>
      <c r="H59" s="32" t="s">
        <v>3</v>
      </c>
      <c r="I59" s="32" t="s">
        <v>3</v>
      </c>
      <c r="J59" s="32">
        <v>1102.5999999999999</v>
      </c>
      <c r="K59" s="32" t="s">
        <v>3</v>
      </c>
      <c r="L59" s="32" t="s">
        <v>3</v>
      </c>
      <c r="M59" s="32" t="s">
        <v>3</v>
      </c>
      <c r="N59" s="32" t="s">
        <v>3</v>
      </c>
      <c r="O59" s="28"/>
    </row>
    <row r="60" spans="1:15" s="3" customFormat="1" x14ac:dyDescent="0.2">
      <c r="A60" s="31">
        <v>902</v>
      </c>
      <c r="B60" s="37" t="s">
        <v>206</v>
      </c>
      <c r="C60" s="32">
        <v>1890.24</v>
      </c>
      <c r="D60" s="32">
        <v>315.04000000000002</v>
      </c>
      <c r="E60" s="32" t="s">
        <v>3</v>
      </c>
      <c r="F60" s="32" t="s">
        <v>3</v>
      </c>
      <c r="G60" s="32" t="s">
        <v>3</v>
      </c>
      <c r="H60" s="32" t="s">
        <v>3</v>
      </c>
      <c r="I60" s="32" t="s">
        <v>3</v>
      </c>
      <c r="J60" s="32">
        <v>2284</v>
      </c>
      <c r="K60" s="32" t="s">
        <v>3</v>
      </c>
      <c r="L60" s="32" t="s">
        <v>3</v>
      </c>
      <c r="M60" s="32" t="s">
        <v>3</v>
      </c>
      <c r="N60" s="32" t="s">
        <v>3</v>
      </c>
      <c r="O60" s="24"/>
    </row>
    <row r="61" spans="1:15" s="3" customFormat="1" x14ac:dyDescent="0.2">
      <c r="A61" s="31">
        <v>905</v>
      </c>
      <c r="B61" s="37" t="s">
        <v>207</v>
      </c>
      <c r="C61" s="32">
        <v>1890.24</v>
      </c>
      <c r="D61" s="32">
        <v>315.04000000000002</v>
      </c>
      <c r="E61" s="32" t="s">
        <v>3</v>
      </c>
      <c r="F61" s="32" t="s">
        <v>3</v>
      </c>
      <c r="G61" s="32" t="s">
        <v>3</v>
      </c>
      <c r="H61" s="32" t="s">
        <v>3</v>
      </c>
      <c r="I61" s="32" t="s">
        <v>3</v>
      </c>
      <c r="J61" s="32">
        <v>2284</v>
      </c>
      <c r="K61" s="32" t="s">
        <v>3</v>
      </c>
      <c r="L61" s="32" t="s">
        <v>3</v>
      </c>
      <c r="M61" s="32" t="s">
        <v>3</v>
      </c>
      <c r="N61" s="32" t="s">
        <v>3</v>
      </c>
      <c r="O61" s="24"/>
    </row>
    <row r="62" spans="1:15" s="3" customFormat="1" x14ac:dyDescent="0.2">
      <c r="A62" s="31">
        <v>906</v>
      </c>
      <c r="B62" s="37" t="s">
        <v>208</v>
      </c>
      <c r="C62" s="32">
        <v>1890.24</v>
      </c>
      <c r="D62" s="32">
        <v>315.04000000000002</v>
      </c>
      <c r="E62" s="32" t="s">
        <v>3</v>
      </c>
      <c r="F62" s="32" t="s">
        <v>3</v>
      </c>
      <c r="G62" s="32" t="s">
        <v>3</v>
      </c>
      <c r="H62" s="32" t="s">
        <v>3</v>
      </c>
      <c r="I62" s="32" t="s">
        <v>3</v>
      </c>
      <c r="J62" s="32">
        <v>2284.1999999999998</v>
      </c>
      <c r="K62" s="32" t="s">
        <v>3</v>
      </c>
      <c r="L62" s="32" t="s">
        <v>3</v>
      </c>
      <c r="M62" s="32" t="s">
        <v>3</v>
      </c>
      <c r="N62" s="32" t="s">
        <v>3</v>
      </c>
      <c r="O62" s="28"/>
    </row>
    <row r="63" spans="1:15" s="3" customFormat="1" x14ac:dyDescent="0.2">
      <c r="A63" s="31">
        <v>911</v>
      </c>
      <c r="B63" s="37" t="s">
        <v>221</v>
      </c>
      <c r="C63" s="32">
        <v>1890.24</v>
      </c>
      <c r="D63" s="32">
        <v>315.04000000000002</v>
      </c>
      <c r="E63" s="32" t="s">
        <v>3</v>
      </c>
      <c r="F63" s="32" t="s">
        <v>3</v>
      </c>
      <c r="G63" s="32" t="s">
        <v>3</v>
      </c>
      <c r="H63" s="32" t="s">
        <v>3</v>
      </c>
      <c r="I63" s="32" t="s">
        <v>3</v>
      </c>
      <c r="J63" s="32">
        <v>2284.1999999999998</v>
      </c>
      <c r="K63" s="32" t="s">
        <v>3</v>
      </c>
      <c r="L63" s="32" t="s">
        <v>3</v>
      </c>
      <c r="M63" s="32" t="s">
        <v>3</v>
      </c>
      <c r="N63" s="32" t="s">
        <v>3</v>
      </c>
      <c r="O63" s="24"/>
    </row>
    <row r="64" spans="1:15" s="46" customFormat="1" x14ac:dyDescent="0.2">
      <c r="A64" s="31">
        <v>912</v>
      </c>
      <c r="B64" s="37" t="s">
        <v>222</v>
      </c>
      <c r="C64" s="32">
        <v>1260.1600000000001</v>
      </c>
      <c r="D64" s="32">
        <v>210.03</v>
      </c>
      <c r="E64" s="32" t="s">
        <v>3</v>
      </c>
      <c r="F64" s="32" t="s">
        <v>3</v>
      </c>
      <c r="G64" s="32" t="s">
        <v>3</v>
      </c>
      <c r="H64" s="32" t="s">
        <v>3</v>
      </c>
      <c r="I64" s="32" t="s">
        <v>3</v>
      </c>
      <c r="J64" s="32">
        <v>1548.8</v>
      </c>
      <c r="K64" s="32" t="s">
        <v>3</v>
      </c>
      <c r="L64" s="32" t="s">
        <v>3</v>
      </c>
      <c r="M64" s="32" t="s">
        <v>3</v>
      </c>
      <c r="N64" s="32" t="s">
        <v>3</v>
      </c>
      <c r="O64" s="24"/>
    </row>
    <row r="65" spans="1:15" s="3" customFormat="1" x14ac:dyDescent="0.2">
      <c r="A65" s="31">
        <v>913</v>
      </c>
      <c r="B65" s="37" t="s">
        <v>223</v>
      </c>
      <c r="C65" s="32">
        <v>1890.24</v>
      </c>
      <c r="D65" s="32">
        <v>315.04000000000002</v>
      </c>
      <c r="E65" s="32" t="s">
        <v>3</v>
      </c>
      <c r="F65" s="32" t="s">
        <v>3</v>
      </c>
      <c r="G65" s="32" t="s">
        <v>3</v>
      </c>
      <c r="H65" s="32" t="s">
        <v>3</v>
      </c>
      <c r="I65" s="32" t="s">
        <v>3</v>
      </c>
      <c r="J65" s="32">
        <v>2284</v>
      </c>
      <c r="K65" s="32" t="s">
        <v>3</v>
      </c>
      <c r="L65" s="32" t="s">
        <v>3</v>
      </c>
      <c r="M65" s="32" t="s">
        <v>3</v>
      </c>
      <c r="N65" s="32" t="s">
        <v>3</v>
      </c>
      <c r="O65" s="24"/>
    </row>
    <row r="66" spans="1:15" s="3" customFormat="1" x14ac:dyDescent="0.2">
      <c r="A66" s="31">
        <v>914</v>
      </c>
      <c r="B66" s="37" t="s">
        <v>224</v>
      </c>
      <c r="C66" s="32">
        <v>945.12</v>
      </c>
      <c r="D66" s="32">
        <v>157.52000000000001</v>
      </c>
      <c r="E66" s="32" t="s">
        <v>3</v>
      </c>
      <c r="F66" s="32" t="s">
        <v>3</v>
      </c>
      <c r="G66" s="32" t="s">
        <v>3</v>
      </c>
      <c r="H66" s="32" t="s">
        <v>3</v>
      </c>
      <c r="I66" s="32" t="s">
        <v>3</v>
      </c>
      <c r="J66" s="32">
        <v>1181.4000000000001</v>
      </c>
      <c r="K66" s="32" t="s">
        <v>3</v>
      </c>
      <c r="L66" s="32" t="s">
        <v>3</v>
      </c>
      <c r="M66" s="32" t="s">
        <v>3</v>
      </c>
      <c r="N66" s="32" t="s">
        <v>3</v>
      </c>
      <c r="O66" s="24"/>
    </row>
    <row r="67" spans="1:15" s="3" customFormat="1" x14ac:dyDescent="0.2">
      <c r="A67" s="31">
        <v>915</v>
      </c>
      <c r="B67" s="37" t="s">
        <v>225</v>
      </c>
      <c r="C67" s="32">
        <v>1890.24</v>
      </c>
      <c r="D67" s="32">
        <v>315.04000000000002</v>
      </c>
      <c r="E67" s="32" t="s">
        <v>3</v>
      </c>
      <c r="F67" s="32" t="s">
        <v>3</v>
      </c>
      <c r="G67" s="32" t="s">
        <v>3</v>
      </c>
      <c r="H67" s="32" t="s">
        <v>3</v>
      </c>
      <c r="I67" s="32" t="s">
        <v>3</v>
      </c>
      <c r="J67" s="32">
        <v>2284</v>
      </c>
      <c r="K67" s="32" t="s">
        <v>3</v>
      </c>
      <c r="L67" s="32" t="s">
        <v>3</v>
      </c>
      <c r="M67" s="32" t="s">
        <v>3</v>
      </c>
      <c r="N67" s="32" t="s">
        <v>3</v>
      </c>
      <c r="O67" s="24"/>
    </row>
    <row r="68" spans="1:15" s="3" customFormat="1" x14ac:dyDescent="0.2">
      <c r="A68" s="31">
        <v>918</v>
      </c>
      <c r="B68" s="37" t="s">
        <v>226</v>
      </c>
      <c r="C68" s="32">
        <v>1890.24</v>
      </c>
      <c r="D68" s="32">
        <v>315.04000000000002</v>
      </c>
      <c r="E68" s="32" t="s">
        <v>3</v>
      </c>
      <c r="F68" s="32" t="s">
        <v>3</v>
      </c>
      <c r="G68" s="32" t="s">
        <v>3</v>
      </c>
      <c r="H68" s="32" t="s">
        <v>3</v>
      </c>
      <c r="I68" s="32" t="s">
        <v>3</v>
      </c>
      <c r="J68" s="32">
        <v>2284.1999999999998</v>
      </c>
      <c r="K68" s="32" t="s">
        <v>3</v>
      </c>
      <c r="L68" s="32" t="s">
        <v>3</v>
      </c>
      <c r="M68" s="32" t="s">
        <v>3</v>
      </c>
      <c r="N68" s="32" t="s">
        <v>3</v>
      </c>
      <c r="O68" s="24"/>
    </row>
    <row r="69" spans="1:15" s="3" customFormat="1" x14ac:dyDescent="0.2">
      <c r="A69" s="31">
        <v>919</v>
      </c>
      <c r="B69" s="37" t="s">
        <v>227</v>
      </c>
      <c r="C69" s="32">
        <v>1890.24</v>
      </c>
      <c r="D69" s="32">
        <v>315.04000000000002</v>
      </c>
      <c r="E69" s="32" t="s">
        <v>3</v>
      </c>
      <c r="F69" s="32" t="s">
        <v>3</v>
      </c>
      <c r="G69" s="32" t="s">
        <v>3</v>
      </c>
      <c r="H69" s="32" t="s">
        <v>3</v>
      </c>
      <c r="I69" s="32" t="s">
        <v>3</v>
      </c>
      <c r="J69" s="32">
        <v>2284.1999999999998</v>
      </c>
      <c r="K69" s="32" t="s">
        <v>3</v>
      </c>
      <c r="L69" s="32" t="s">
        <v>3</v>
      </c>
      <c r="M69" s="32" t="s">
        <v>3</v>
      </c>
      <c r="N69" s="32" t="s">
        <v>3</v>
      </c>
      <c r="O69" s="28"/>
    </row>
    <row r="70" spans="1:15" s="3" customFormat="1" x14ac:dyDescent="0.2">
      <c r="A70" s="31">
        <v>923</v>
      </c>
      <c r="B70" s="37" t="s">
        <v>231</v>
      </c>
      <c r="C70" s="32">
        <v>1890.24</v>
      </c>
      <c r="D70" s="32">
        <v>315.04000000000002</v>
      </c>
      <c r="E70" s="32" t="s">
        <v>3</v>
      </c>
      <c r="F70" s="32" t="s">
        <v>3</v>
      </c>
      <c r="G70" s="32" t="s">
        <v>3</v>
      </c>
      <c r="H70" s="32" t="s">
        <v>3</v>
      </c>
      <c r="I70" s="32" t="s">
        <v>3</v>
      </c>
      <c r="J70" s="32">
        <v>2284.1999999999998</v>
      </c>
      <c r="K70" s="32" t="s">
        <v>3</v>
      </c>
      <c r="L70" s="32" t="s">
        <v>3</v>
      </c>
      <c r="M70" s="32" t="s">
        <v>3</v>
      </c>
      <c r="N70" s="32" t="s">
        <v>3</v>
      </c>
      <c r="O70" s="24"/>
    </row>
    <row r="71" spans="1:15" s="3" customFormat="1" x14ac:dyDescent="0.2">
      <c r="A71" s="31">
        <v>924</v>
      </c>
      <c r="B71" s="37" t="s">
        <v>232</v>
      </c>
      <c r="C71" s="32">
        <v>1890.24</v>
      </c>
      <c r="D71" s="32">
        <v>315.04000000000002</v>
      </c>
      <c r="E71" s="32" t="s">
        <v>3</v>
      </c>
      <c r="F71" s="32" t="s">
        <v>3</v>
      </c>
      <c r="G71" s="32" t="s">
        <v>3</v>
      </c>
      <c r="H71" s="32" t="s">
        <v>3</v>
      </c>
      <c r="I71" s="32" t="s">
        <v>3</v>
      </c>
      <c r="J71" s="32">
        <v>2284.1999999999998</v>
      </c>
      <c r="K71" s="32" t="s">
        <v>3</v>
      </c>
      <c r="L71" s="32" t="s">
        <v>3</v>
      </c>
      <c r="M71" s="32" t="s">
        <v>3</v>
      </c>
      <c r="N71" s="32" t="s">
        <v>3</v>
      </c>
      <c r="O71" s="24"/>
    </row>
    <row r="72" spans="1:15" s="3" customFormat="1" x14ac:dyDescent="0.2">
      <c r="A72" s="31">
        <v>925</v>
      </c>
      <c r="B72" s="42" t="s">
        <v>263</v>
      </c>
      <c r="C72" s="43">
        <v>945.12</v>
      </c>
      <c r="D72" s="43">
        <v>157.52000000000001</v>
      </c>
      <c r="E72" s="43" t="s">
        <v>3</v>
      </c>
      <c r="F72" s="43" t="s">
        <v>3</v>
      </c>
      <c r="G72" s="43" t="s">
        <v>3</v>
      </c>
      <c r="H72" s="43" t="s">
        <v>3</v>
      </c>
      <c r="I72" s="43" t="s">
        <v>3</v>
      </c>
      <c r="J72" s="43">
        <v>1181.4000000000001</v>
      </c>
      <c r="K72" s="43" t="s">
        <v>3</v>
      </c>
      <c r="L72" s="43" t="s">
        <v>3</v>
      </c>
      <c r="M72" s="43" t="s">
        <v>3</v>
      </c>
      <c r="N72" s="43" t="s">
        <v>3</v>
      </c>
      <c r="O72" s="28"/>
    </row>
    <row r="73" spans="1:15" s="3" customFormat="1" ht="16.5" thickBot="1" x14ac:dyDescent="0.3">
      <c r="A73" s="6"/>
      <c r="B73" s="18"/>
      <c r="C73" s="19">
        <f t="shared" ref="C73" si="0">SUM(C6:C72)</f>
        <v>119737.16000000008</v>
      </c>
      <c r="D73" s="19">
        <f t="shared" ref="D73" si="1">SUM(D6:D72)</f>
        <v>20008.710000000025</v>
      </c>
      <c r="E73" s="19">
        <f t="shared" ref="E73" si="2">SUM(E6:E72)</f>
        <v>0</v>
      </c>
      <c r="F73" s="19">
        <f t="shared" ref="F73" si="3">SUM(F6:F72)</f>
        <v>380.33</v>
      </c>
      <c r="G73" s="19">
        <f t="shared" ref="G73" si="4">SUM(G6:G72)</f>
        <v>2504.62</v>
      </c>
      <c r="H73" s="19">
        <f t="shared" ref="H73" si="5">SUM(H6:H72)</f>
        <v>1381.42</v>
      </c>
      <c r="I73" s="19">
        <f t="shared" ref="I73" si="6">SUM(I6:I72)</f>
        <v>537.78</v>
      </c>
      <c r="J73" s="19">
        <f>SUM(J6:J72)</f>
        <v>142972.80000000002</v>
      </c>
      <c r="K73" s="19">
        <f t="shared" ref="K73" si="7">SUM(K6:K72)</f>
        <v>2205.2800000000002</v>
      </c>
      <c r="L73" s="19">
        <f t="shared" ref="L73" si="8">SUM(L6:L72)</f>
        <v>551.32000000000005</v>
      </c>
      <c r="M73" s="19">
        <f t="shared" ref="M73" si="9">SUM(M6:M72)</f>
        <v>0</v>
      </c>
      <c r="N73" s="19">
        <f t="shared" ref="N73" si="10">SUM(N6:N72)</f>
        <v>350</v>
      </c>
      <c r="O73" s="19">
        <f t="shared" ref="O73" si="11">SUM(O6:O72)</f>
        <v>0</v>
      </c>
    </row>
    <row r="74" spans="1:15" s="3" customFormat="1" ht="16.5" thickTop="1" x14ac:dyDescent="0.25">
      <c r="A74" s="9"/>
      <c r="B74" s="1"/>
      <c r="I74" s="2" t="s">
        <v>46</v>
      </c>
      <c r="J74" s="2">
        <f>DISPERCION!D57</f>
        <v>117992.2</v>
      </c>
      <c r="K74" s="1"/>
      <c r="O74" s="20"/>
    </row>
    <row r="75" spans="1:15" s="3" customFormat="1" x14ac:dyDescent="0.25">
      <c r="A75" s="9"/>
      <c r="B75" s="1"/>
      <c r="I75" s="2" t="s">
        <v>219</v>
      </c>
      <c r="J75" s="2">
        <f>CHEQUE!J18+'CHEQUE FINIQUITOS'!J10</f>
        <v>24980.600000000002</v>
      </c>
      <c r="K75" s="1"/>
      <c r="O75" s="20"/>
    </row>
    <row r="76" spans="1:15" s="3" customFormat="1" x14ac:dyDescent="0.25">
      <c r="A76" s="9"/>
      <c r="B76" s="1"/>
      <c r="I76" s="2" t="s">
        <v>45</v>
      </c>
      <c r="J76" s="2">
        <v>0</v>
      </c>
      <c r="K76" s="1"/>
      <c r="O76" s="20"/>
    </row>
    <row r="77" spans="1:15" x14ac:dyDescent="0.25">
      <c r="A77" s="9"/>
      <c r="C77" s="3"/>
      <c r="D77" s="3"/>
      <c r="E77" s="3"/>
      <c r="F77" s="3"/>
      <c r="G77" s="3"/>
      <c r="H77" s="3"/>
      <c r="I77" s="2" t="s">
        <v>175</v>
      </c>
      <c r="J77" s="2">
        <f>SUM(J74:J76)</f>
        <v>142972.79999999999</v>
      </c>
      <c r="L77" s="3"/>
      <c r="M77" s="3"/>
      <c r="N77" s="3"/>
      <c r="O77" s="20"/>
    </row>
    <row r="78" spans="1:15" x14ac:dyDescent="0.25">
      <c r="A78" s="51"/>
      <c r="I78" s="26" t="s">
        <v>47</v>
      </c>
      <c r="J78" s="2">
        <f>+J73-J77</f>
        <v>0</v>
      </c>
    </row>
    <row r="79" spans="1:15" x14ac:dyDescent="0.25">
      <c r="A79" s="51"/>
    </row>
    <row r="80" spans="1:15" x14ac:dyDescent="0.25">
      <c r="A80" s="60" t="s">
        <v>266</v>
      </c>
      <c r="B80" s="52"/>
    </row>
    <row r="81" spans="1:15" s="3" customFormat="1" x14ac:dyDescent="0.2">
      <c r="A81" s="63">
        <v>574</v>
      </c>
      <c r="B81" s="64" t="s">
        <v>32</v>
      </c>
      <c r="C81" s="65" t="s">
        <v>3</v>
      </c>
      <c r="D81" s="65">
        <v>464.29</v>
      </c>
      <c r="E81" s="65" t="s">
        <v>3</v>
      </c>
      <c r="F81" s="65" t="s">
        <v>3</v>
      </c>
      <c r="G81" s="65">
        <v>483.6</v>
      </c>
      <c r="H81" s="65">
        <v>390.12</v>
      </c>
      <c r="I81" s="65">
        <v>98</v>
      </c>
      <c r="J81" s="65">
        <v>3905.2</v>
      </c>
      <c r="K81" s="65">
        <v>3250.03</v>
      </c>
      <c r="L81" s="65">
        <v>812.51</v>
      </c>
      <c r="M81" s="65" t="s">
        <v>3</v>
      </c>
      <c r="N81" s="65">
        <v>350</v>
      </c>
      <c r="O81" s="66" t="s">
        <v>264</v>
      </c>
    </row>
    <row r="82" spans="1:15" s="3" customFormat="1" x14ac:dyDescent="0.2">
      <c r="A82" s="31"/>
      <c r="B82" s="37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24"/>
    </row>
    <row r="83" spans="1:15" x14ac:dyDescent="0.25">
      <c r="A83" s="60" t="s">
        <v>233</v>
      </c>
      <c r="B83" s="52"/>
    </row>
    <row r="84" spans="1:15" s="3" customFormat="1" x14ac:dyDescent="0.2">
      <c r="A84" s="56">
        <v>773</v>
      </c>
      <c r="B84" s="57" t="s">
        <v>53</v>
      </c>
      <c r="C84" s="58" t="s">
        <v>3</v>
      </c>
      <c r="D84" s="58" t="s">
        <v>3</v>
      </c>
      <c r="E84" s="58" t="s">
        <v>3</v>
      </c>
      <c r="F84" s="58" t="s">
        <v>3</v>
      </c>
      <c r="G84" s="58">
        <v>530.05999999999995</v>
      </c>
      <c r="H84" s="58">
        <v>277.70999999999998</v>
      </c>
      <c r="I84" s="58" t="s">
        <v>3</v>
      </c>
      <c r="J84" s="58">
        <v>3344.4</v>
      </c>
      <c r="K84" s="58">
        <v>3180.61</v>
      </c>
      <c r="L84" s="58">
        <v>795.15</v>
      </c>
      <c r="M84" s="58">
        <v>191.58</v>
      </c>
      <c r="N84" s="58" t="s">
        <v>3</v>
      </c>
      <c r="O84" s="59" t="s">
        <v>234</v>
      </c>
    </row>
    <row r="86" spans="1:15" x14ac:dyDescent="0.25">
      <c r="A86" s="21"/>
    </row>
    <row r="87" spans="1:15" x14ac:dyDescent="0.25">
      <c r="A87" s="21"/>
    </row>
    <row r="88" spans="1:15" x14ac:dyDescent="0.25">
      <c r="A88" s="21"/>
    </row>
    <row r="89" spans="1:15" x14ac:dyDescent="0.25">
      <c r="A89" s="21"/>
    </row>
    <row r="90" spans="1:15" x14ac:dyDescent="0.25">
      <c r="A90" s="21"/>
    </row>
    <row r="91" spans="1:15" x14ac:dyDescent="0.25">
      <c r="A91" s="21"/>
    </row>
    <row r="92" spans="1:15" x14ac:dyDescent="0.25">
      <c r="A92" s="21"/>
    </row>
    <row r="93" spans="1:15" x14ac:dyDescent="0.25">
      <c r="A93" s="21"/>
    </row>
    <row r="94" spans="1:15" x14ac:dyDescent="0.25">
      <c r="A94" s="21"/>
    </row>
    <row r="95" spans="1:15" x14ac:dyDescent="0.25">
      <c r="A95" s="21"/>
    </row>
    <row r="96" spans="1:15" x14ac:dyDescent="0.25">
      <c r="A96" s="21"/>
    </row>
    <row r="97" spans="1:1" x14ac:dyDescent="0.25">
      <c r="A97" s="21"/>
    </row>
    <row r="98" spans="1:1" x14ac:dyDescent="0.25">
      <c r="A98" s="21"/>
    </row>
    <row r="99" spans="1:1" x14ac:dyDescent="0.25">
      <c r="A99" s="21"/>
    </row>
    <row r="100" spans="1:1" x14ac:dyDescent="0.25">
      <c r="A100" s="21"/>
    </row>
    <row r="101" spans="1:1" x14ac:dyDescent="0.25">
      <c r="A101" s="21"/>
    </row>
    <row r="102" spans="1:1" x14ac:dyDescent="0.25">
      <c r="A102" s="21"/>
    </row>
    <row r="103" spans="1:1" x14ac:dyDescent="0.25">
      <c r="A103" s="21"/>
    </row>
    <row r="104" spans="1:1" x14ac:dyDescent="0.25">
      <c r="A104" s="21"/>
    </row>
    <row r="105" spans="1:1" x14ac:dyDescent="0.25">
      <c r="A105" s="21"/>
    </row>
    <row r="106" spans="1:1" x14ac:dyDescent="0.25">
      <c r="A106" s="21"/>
    </row>
    <row r="107" spans="1:1" x14ac:dyDescent="0.25">
      <c r="A107" s="21"/>
    </row>
    <row r="108" spans="1:1" x14ac:dyDescent="0.25">
      <c r="A108" s="21"/>
    </row>
    <row r="109" spans="1:1" x14ac:dyDescent="0.25">
      <c r="A109" s="21"/>
    </row>
    <row r="110" spans="1:1" x14ac:dyDescent="0.25">
      <c r="A110" s="21"/>
    </row>
    <row r="111" spans="1:1" x14ac:dyDescent="0.25">
      <c r="A111" s="21"/>
    </row>
    <row r="112" spans="1:1" x14ac:dyDescent="0.25">
      <c r="A112" s="21"/>
    </row>
    <row r="113" spans="1:1" x14ac:dyDescent="0.25">
      <c r="A113" s="21"/>
    </row>
    <row r="114" spans="1:1" x14ac:dyDescent="0.25">
      <c r="A114" s="21"/>
    </row>
    <row r="115" spans="1:1" x14ac:dyDescent="0.25">
      <c r="A115" s="21"/>
    </row>
    <row r="116" spans="1:1" x14ac:dyDescent="0.25">
      <c r="A116" s="21"/>
    </row>
    <row r="117" spans="1:1" x14ac:dyDescent="0.25">
      <c r="A117" s="21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</sheetData>
  <autoFilter ref="A1:A140" xr:uid="{00000000-0009-0000-0000-000000000000}"/>
  <pageMargins left="0.75" right="0.75" top="1" bottom="1" header="0.5" footer="0.5"/>
  <pageSetup scale="58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5"/>
  <sheetViews>
    <sheetView topLeftCell="A16" zoomScale="71" zoomScaleNormal="71" workbookViewId="0">
      <selection activeCell="D57" sqref="D57"/>
    </sheetView>
  </sheetViews>
  <sheetFormatPr baseColWidth="10" defaultRowHeight="15.75" x14ac:dyDescent="0.2"/>
  <cols>
    <col min="1" max="1" width="7.28515625" style="1" bestFit="1" customWidth="1"/>
    <col min="2" max="2" width="53.5703125" style="1" bestFit="1" customWidth="1"/>
    <col min="3" max="3" width="16.85546875" style="1" bestFit="1" customWidth="1"/>
    <col min="4" max="4" width="13.28515625" style="1" bestFit="1" customWidth="1"/>
    <col min="5" max="5" width="21.5703125" style="10" customWidth="1"/>
    <col min="6" max="6" width="5.140625" style="1" customWidth="1"/>
    <col min="7" max="8" width="11.42578125" style="1"/>
    <col min="9" max="9" width="54.28515625" style="1" bestFit="1" customWidth="1"/>
    <col min="10" max="21" width="11.42578125" style="1"/>
    <col min="22" max="22" width="16.7109375" style="1" bestFit="1" customWidth="1"/>
    <col min="23" max="16384" width="11.42578125" style="1"/>
  </cols>
  <sheetData>
    <row r="1" spans="1:22" ht="60" x14ac:dyDescent="0.2">
      <c r="A1" s="33" t="s">
        <v>43</v>
      </c>
      <c r="B1" s="33" t="s">
        <v>6</v>
      </c>
      <c r="C1" s="33" t="s">
        <v>44</v>
      </c>
      <c r="D1" s="33" t="s">
        <v>54</v>
      </c>
      <c r="E1" s="34" t="s">
        <v>183</v>
      </c>
      <c r="H1" s="33" t="s">
        <v>5</v>
      </c>
      <c r="I1" s="33" t="s">
        <v>6</v>
      </c>
      <c r="J1" s="34" t="s">
        <v>7</v>
      </c>
      <c r="K1" s="34" t="s">
        <v>8</v>
      </c>
      <c r="L1" s="34" t="s">
        <v>196</v>
      </c>
      <c r="M1" s="34" t="s">
        <v>9</v>
      </c>
      <c r="N1" s="34" t="s">
        <v>10</v>
      </c>
      <c r="O1" s="34" t="s">
        <v>12</v>
      </c>
      <c r="P1" s="34" t="s">
        <v>11</v>
      </c>
      <c r="Q1" s="34" t="s">
        <v>13</v>
      </c>
      <c r="R1" s="34" t="s">
        <v>90</v>
      </c>
      <c r="S1" s="34" t="s">
        <v>91</v>
      </c>
      <c r="T1" s="35" t="s">
        <v>176</v>
      </c>
      <c r="U1" s="35" t="s">
        <v>195</v>
      </c>
      <c r="V1" s="34" t="s">
        <v>183</v>
      </c>
    </row>
    <row r="2" spans="1:22" x14ac:dyDescent="0.2">
      <c r="A2" s="61" t="s">
        <v>99</v>
      </c>
      <c r="B2" s="61" t="s">
        <v>100</v>
      </c>
      <c r="C2" s="61" t="s">
        <v>55</v>
      </c>
      <c r="D2" s="32">
        <v>2524.8000000000002</v>
      </c>
      <c r="E2" s="24"/>
      <c r="G2" s="25">
        <f>+A2-H2</f>
        <v>0</v>
      </c>
      <c r="H2" s="31">
        <v>1</v>
      </c>
      <c r="I2" s="37" t="s">
        <v>14</v>
      </c>
      <c r="J2" s="32">
        <v>2323.1999999999998</v>
      </c>
      <c r="K2" s="32">
        <v>387.2</v>
      </c>
      <c r="L2" s="32" t="s">
        <v>3</v>
      </c>
      <c r="M2" s="32" t="s">
        <v>3</v>
      </c>
      <c r="N2" s="32" t="s">
        <v>3</v>
      </c>
      <c r="O2" s="32">
        <v>212.23</v>
      </c>
      <c r="P2" s="32">
        <v>70.239999999999995</v>
      </c>
      <c r="Q2" s="32">
        <v>2524.8000000000002</v>
      </c>
      <c r="R2" s="32" t="s">
        <v>3</v>
      </c>
      <c r="S2" s="32" t="s">
        <v>3</v>
      </c>
      <c r="T2" s="32" t="s">
        <v>3</v>
      </c>
      <c r="U2" s="32" t="s">
        <v>3</v>
      </c>
      <c r="V2" s="24"/>
    </row>
    <row r="3" spans="1:22" x14ac:dyDescent="0.2">
      <c r="A3" s="61" t="s">
        <v>101</v>
      </c>
      <c r="B3" s="61" t="s">
        <v>102</v>
      </c>
      <c r="C3" s="61" t="s">
        <v>56</v>
      </c>
      <c r="D3" s="32">
        <v>2284.1999999999998</v>
      </c>
      <c r="E3" s="24"/>
      <c r="G3" s="25">
        <f t="shared" ref="G3:G31" si="0">+A3-H3</f>
        <v>0</v>
      </c>
      <c r="H3" s="31">
        <v>37</v>
      </c>
      <c r="I3" s="37" t="s">
        <v>15</v>
      </c>
      <c r="J3" s="32">
        <v>1890.24</v>
      </c>
      <c r="K3" s="32">
        <v>315.04000000000002</v>
      </c>
      <c r="L3" s="32" t="s">
        <v>3</v>
      </c>
      <c r="M3" s="32" t="s">
        <v>3</v>
      </c>
      <c r="N3" s="32" t="s">
        <v>3</v>
      </c>
      <c r="O3" s="32" t="s">
        <v>3</v>
      </c>
      <c r="P3" s="32" t="s">
        <v>3</v>
      </c>
      <c r="Q3" s="32">
        <v>2284.1999999999998</v>
      </c>
      <c r="R3" s="32" t="s">
        <v>3</v>
      </c>
      <c r="S3" s="32" t="s">
        <v>3</v>
      </c>
      <c r="T3" s="32" t="s">
        <v>3</v>
      </c>
      <c r="U3" s="32" t="s">
        <v>3</v>
      </c>
      <c r="V3" s="24"/>
    </row>
    <row r="4" spans="1:22" x14ac:dyDescent="0.2">
      <c r="A4" s="61" t="s">
        <v>103</v>
      </c>
      <c r="B4" s="61" t="s">
        <v>104</v>
      </c>
      <c r="C4" s="61" t="s">
        <v>57</v>
      </c>
      <c r="D4" s="32">
        <v>1895.8</v>
      </c>
      <c r="E4" s="24"/>
      <c r="G4" s="25">
        <f t="shared" si="0"/>
        <v>0</v>
      </c>
      <c r="H4" s="31">
        <v>71</v>
      </c>
      <c r="I4" s="37" t="s">
        <v>16</v>
      </c>
      <c r="J4" s="32">
        <v>1890.24</v>
      </c>
      <c r="K4" s="32">
        <v>315.04000000000002</v>
      </c>
      <c r="L4" s="32" t="s">
        <v>3</v>
      </c>
      <c r="M4" s="32" t="s">
        <v>3</v>
      </c>
      <c r="N4" s="32">
        <v>388.35</v>
      </c>
      <c r="O4" s="32" t="s">
        <v>3</v>
      </c>
      <c r="P4" s="32" t="s">
        <v>3</v>
      </c>
      <c r="Q4" s="32">
        <v>1895.8</v>
      </c>
      <c r="R4" s="32" t="s">
        <v>3</v>
      </c>
      <c r="S4" s="32" t="s">
        <v>3</v>
      </c>
      <c r="T4" s="32" t="s">
        <v>3</v>
      </c>
      <c r="U4" s="32" t="s">
        <v>3</v>
      </c>
      <c r="V4" s="24"/>
    </row>
    <row r="5" spans="1:22" x14ac:dyDescent="0.2">
      <c r="A5" s="61" t="s">
        <v>105</v>
      </c>
      <c r="B5" s="61" t="s">
        <v>106</v>
      </c>
      <c r="C5" s="61" t="s">
        <v>58</v>
      </c>
      <c r="D5" s="32">
        <v>1825</v>
      </c>
      <c r="E5" s="24"/>
      <c r="G5" s="25">
        <f t="shared" si="0"/>
        <v>0</v>
      </c>
      <c r="H5" s="31">
        <v>96</v>
      </c>
      <c r="I5" s="37" t="s">
        <v>17</v>
      </c>
      <c r="J5" s="32">
        <v>1890.24</v>
      </c>
      <c r="K5" s="32">
        <v>315.04000000000002</v>
      </c>
      <c r="L5" s="32" t="s">
        <v>3</v>
      </c>
      <c r="M5" s="32">
        <v>380.33</v>
      </c>
      <c r="N5" s="32" t="s">
        <v>3</v>
      </c>
      <c r="O5" s="32" t="s">
        <v>3</v>
      </c>
      <c r="P5" s="32" t="s">
        <v>3</v>
      </c>
      <c r="Q5" s="32">
        <v>1825</v>
      </c>
      <c r="R5" s="32" t="s">
        <v>3</v>
      </c>
      <c r="S5" s="32" t="s">
        <v>3</v>
      </c>
      <c r="T5" s="32" t="s">
        <v>3</v>
      </c>
      <c r="U5" s="32" t="s">
        <v>3</v>
      </c>
      <c r="V5" s="24"/>
    </row>
    <row r="6" spans="1:22" x14ac:dyDescent="0.2">
      <c r="A6" s="61" t="s">
        <v>107</v>
      </c>
      <c r="B6" s="61" t="s">
        <v>108</v>
      </c>
      <c r="C6" s="61" t="s">
        <v>59</v>
      </c>
      <c r="D6" s="32">
        <v>2524.8000000000002</v>
      </c>
      <c r="E6" s="24"/>
      <c r="G6" s="25">
        <f t="shared" si="0"/>
        <v>0</v>
      </c>
      <c r="H6" s="31">
        <v>135</v>
      </c>
      <c r="I6" s="37" t="s">
        <v>18</v>
      </c>
      <c r="J6" s="32">
        <v>2323.1999999999998</v>
      </c>
      <c r="K6" s="32">
        <v>387.2</v>
      </c>
      <c r="L6" s="32" t="s">
        <v>3</v>
      </c>
      <c r="M6" s="32" t="s">
        <v>3</v>
      </c>
      <c r="N6" s="32" t="s">
        <v>3</v>
      </c>
      <c r="O6" s="32">
        <v>212.23</v>
      </c>
      <c r="P6" s="32">
        <v>70.150000000000006</v>
      </c>
      <c r="Q6" s="32">
        <v>2524.8000000000002</v>
      </c>
      <c r="R6" s="32" t="s">
        <v>3</v>
      </c>
      <c r="S6" s="32" t="s">
        <v>3</v>
      </c>
      <c r="T6" s="32" t="s">
        <v>3</v>
      </c>
      <c r="U6" s="32" t="s">
        <v>3</v>
      </c>
      <c r="V6" s="24"/>
    </row>
    <row r="7" spans="1:22" x14ac:dyDescent="0.2">
      <c r="A7" s="61" t="s">
        <v>109</v>
      </c>
      <c r="B7" s="61" t="s">
        <v>110</v>
      </c>
      <c r="C7" s="61" t="s">
        <v>60</v>
      </c>
      <c r="D7" s="32">
        <v>2284.1999999999998</v>
      </c>
      <c r="E7" s="24"/>
      <c r="G7" s="25">
        <f t="shared" si="0"/>
        <v>0</v>
      </c>
      <c r="H7" s="31">
        <v>167</v>
      </c>
      <c r="I7" s="37" t="s">
        <v>19</v>
      </c>
      <c r="J7" s="32">
        <v>1890.24</v>
      </c>
      <c r="K7" s="32">
        <v>315.04000000000002</v>
      </c>
      <c r="L7" s="32" t="s">
        <v>3</v>
      </c>
      <c r="M7" s="32" t="s">
        <v>3</v>
      </c>
      <c r="N7" s="32" t="s">
        <v>3</v>
      </c>
      <c r="O7" s="32" t="s">
        <v>3</v>
      </c>
      <c r="P7" s="32" t="s">
        <v>3</v>
      </c>
      <c r="Q7" s="32">
        <v>2284.1999999999998</v>
      </c>
      <c r="R7" s="32" t="s">
        <v>3</v>
      </c>
      <c r="S7" s="32" t="s">
        <v>3</v>
      </c>
      <c r="T7" s="32" t="s">
        <v>3</v>
      </c>
      <c r="U7" s="32" t="s">
        <v>3</v>
      </c>
      <c r="V7" s="24"/>
    </row>
    <row r="8" spans="1:22" x14ac:dyDescent="0.2">
      <c r="A8" s="61" t="s">
        <v>111</v>
      </c>
      <c r="B8" s="61" t="s">
        <v>112</v>
      </c>
      <c r="C8" s="61" t="s">
        <v>61</v>
      </c>
      <c r="D8" s="32">
        <v>1851</v>
      </c>
      <c r="E8" s="24"/>
      <c r="G8" s="25">
        <f t="shared" si="0"/>
        <v>0</v>
      </c>
      <c r="H8" s="31">
        <v>179</v>
      </c>
      <c r="I8" s="37" t="s">
        <v>20</v>
      </c>
      <c r="J8" s="32">
        <v>1890.24</v>
      </c>
      <c r="K8" s="32">
        <v>315.04000000000002</v>
      </c>
      <c r="L8" s="32" t="s">
        <v>3</v>
      </c>
      <c r="M8" s="32" t="s">
        <v>3</v>
      </c>
      <c r="N8" s="32">
        <v>433.07</v>
      </c>
      <c r="O8" s="32" t="s">
        <v>3</v>
      </c>
      <c r="P8" s="32" t="s">
        <v>3</v>
      </c>
      <c r="Q8" s="32">
        <v>1851</v>
      </c>
      <c r="R8" s="32" t="s">
        <v>3</v>
      </c>
      <c r="S8" s="32" t="s">
        <v>3</v>
      </c>
      <c r="T8" s="32" t="s">
        <v>3</v>
      </c>
      <c r="U8" s="32" t="s">
        <v>3</v>
      </c>
      <c r="V8" s="24"/>
    </row>
    <row r="9" spans="1:22" x14ac:dyDescent="0.2">
      <c r="A9" s="61" t="s">
        <v>113</v>
      </c>
      <c r="B9" s="61" t="s">
        <v>114</v>
      </c>
      <c r="C9" s="61" t="s">
        <v>62</v>
      </c>
      <c r="D9" s="32">
        <v>1767</v>
      </c>
      <c r="E9" s="28"/>
      <c r="G9" s="25">
        <f t="shared" si="0"/>
        <v>0</v>
      </c>
      <c r="H9" s="31">
        <v>202</v>
      </c>
      <c r="I9" s="37" t="s">
        <v>48</v>
      </c>
      <c r="J9" s="32">
        <v>1890.24</v>
      </c>
      <c r="K9" s="32">
        <v>315.04000000000002</v>
      </c>
      <c r="L9" s="32" t="s">
        <v>3</v>
      </c>
      <c r="M9" s="32" t="s">
        <v>3</v>
      </c>
      <c r="N9" s="32">
        <v>517.11</v>
      </c>
      <c r="O9" s="32" t="s">
        <v>3</v>
      </c>
      <c r="P9" s="32" t="s">
        <v>3</v>
      </c>
      <c r="Q9" s="32">
        <v>1767</v>
      </c>
      <c r="R9" s="32" t="s">
        <v>3</v>
      </c>
      <c r="S9" s="32" t="s">
        <v>3</v>
      </c>
      <c r="T9" s="32" t="s">
        <v>3</v>
      </c>
      <c r="U9" s="32" t="s">
        <v>3</v>
      </c>
      <c r="V9" s="28"/>
    </row>
    <row r="10" spans="1:22" x14ac:dyDescent="0.2">
      <c r="A10" s="61" t="s">
        <v>115</v>
      </c>
      <c r="B10" s="61" t="s">
        <v>116</v>
      </c>
      <c r="C10" s="61" t="s">
        <v>63</v>
      </c>
      <c r="D10" s="65">
        <v>4568.2</v>
      </c>
      <c r="E10" s="66" t="s">
        <v>267</v>
      </c>
      <c r="G10" s="25">
        <f t="shared" si="0"/>
        <v>0</v>
      </c>
      <c r="H10" s="63">
        <v>363</v>
      </c>
      <c r="I10" s="64" t="s">
        <v>21</v>
      </c>
      <c r="J10" s="65">
        <v>1890.24</v>
      </c>
      <c r="K10" s="65">
        <v>315.04000000000002</v>
      </c>
      <c r="L10" s="65" t="s">
        <v>3</v>
      </c>
      <c r="M10" s="65" t="s">
        <v>3</v>
      </c>
      <c r="N10" s="65" t="s">
        <v>3</v>
      </c>
      <c r="O10" s="65" t="s">
        <v>3</v>
      </c>
      <c r="P10" s="65" t="s">
        <v>3</v>
      </c>
      <c r="Q10" s="65">
        <v>4568.2</v>
      </c>
      <c r="R10" s="65">
        <v>1890.24</v>
      </c>
      <c r="S10" s="65">
        <v>472.56</v>
      </c>
      <c r="T10" s="65" t="s">
        <v>3</v>
      </c>
      <c r="U10" s="65" t="s">
        <v>3</v>
      </c>
      <c r="V10" s="66" t="s">
        <v>264</v>
      </c>
    </row>
    <row r="11" spans="1:22" x14ac:dyDescent="0.2">
      <c r="A11" s="61" t="s">
        <v>117</v>
      </c>
      <c r="B11" s="61" t="s">
        <v>118</v>
      </c>
      <c r="C11" s="61" t="s">
        <v>64</v>
      </c>
      <c r="D11" s="32">
        <v>1895.2</v>
      </c>
      <c r="E11" s="24"/>
      <c r="G11" s="25">
        <f t="shared" si="0"/>
        <v>0</v>
      </c>
      <c r="H11" s="31">
        <v>370</v>
      </c>
      <c r="I11" s="37" t="s">
        <v>22</v>
      </c>
      <c r="J11" s="32">
        <v>1890.24</v>
      </c>
      <c r="K11" s="32">
        <v>315.04000000000002</v>
      </c>
      <c r="L11" s="32" t="s">
        <v>3</v>
      </c>
      <c r="M11" s="32" t="s">
        <v>3</v>
      </c>
      <c r="N11" s="32">
        <v>388.79</v>
      </c>
      <c r="O11" s="32" t="s">
        <v>3</v>
      </c>
      <c r="P11" s="32" t="s">
        <v>3</v>
      </c>
      <c r="Q11" s="32">
        <v>1895.2</v>
      </c>
      <c r="R11" s="32" t="s">
        <v>3</v>
      </c>
      <c r="S11" s="32" t="s">
        <v>3</v>
      </c>
      <c r="T11" s="32" t="s">
        <v>3</v>
      </c>
      <c r="U11" s="32" t="s">
        <v>3</v>
      </c>
      <c r="V11" s="24"/>
    </row>
    <row r="12" spans="1:22" x14ac:dyDescent="0.2">
      <c r="A12" s="61" t="s">
        <v>119</v>
      </c>
      <c r="B12" s="61" t="s">
        <v>120</v>
      </c>
      <c r="C12" s="61" t="s">
        <v>65</v>
      </c>
      <c r="D12" s="32">
        <v>2220.8000000000002</v>
      </c>
      <c r="E12" s="24"/>
      <c r="G12" s="25">
        <f t="shared" si="0"/>
        <v>0</v>
      </c>
      <c r="H12" s="31">
        <v>399</v>
      </c>
      <c r="I12" s="37" t="s">
        <v>23</v>
      </c>
      <c r="J12" s="32">
        <v>1890.24</v>
      </c>
      <c r="K12" s="32">
        <v>315.04000000000002</v>
      </c>
      <c r="L12" s="32" t="s">
        <v>3</v>
      </c>
      <c r="M12" s="32" t="s">
        <v>3</v>
      </c>
      <c r="N12" s="32" t="s">
        <v>3</v>
      </c>
      <c r="O12" s="32">
        <v>63.25</v>
      </c>
      <c r="P12" s="32" t="s">
        <v>3</v>
      </c>
      <c r="Q12" s="32">
        <v>2220.8000000000002</v>
      </c>
      <c r="R12" s="32" t="s">
        <v>3</v>
      </c>
      <c r="S12" s="32" t="s">
        <v>3</v>
      </c>
      <c r="T12" s="32" t="s">
        <v>3</v>
      </c>
      <c r="U12" s="32" t="s">
        <v>3</v>
      </c>
      <c r="V12" s="24"/>
    </row>
    <row r="13" spans="1:22" x14ac:dyDescent="0.2">
      <c r="A13" s="61" t="s">
        <v>121</v>
      </c>
      <c r="B13" s="61" t="s">
        <v>122</v>
      </c>
      <c r="C13" s="61" t="s">
        <v>66</v>
      </c>
      <c r="D13" s="32">
        <v>2284</v>
      </c>
      <c r="E13" s="24"/>
      <c r="G13" s="25">
        <f t="shared" si="0"/>
        <v>0</v>
      </c>
      <c r="H13" s="31">
        <v>429</v>
      </c>
      <c r="I13" s="37" t="s">
        <v>24</v>
      </c>
      <c r="J13" s="32">
        <v>1890.24</v>
      </c>
      <c r="K13" s="32">
        <v>315.04000000000002</v>
      </c>
      <c r="L13" s="32" t="s">
        <v>3</v>
      </c>
      <c r="M13" s="32" t="s">
        <v>3</v>
      </c>
      <c r="N13" s="32" t="s">
        <v>3</v>
      </c>
      <c r="O13" s="32" t="s">
        <v>3</v>
      </c>
      <c r="P13" s="32" t="s">
        <v>3</v>
      </c>
      <c r="Q13" s="32">
        <v>2284</v>
      </c>
      <c r="R13" s="32" t="s">
        <v>3</v>
      </c>
      <c r="S13" s="32" t="s">
        <v>3</v>
      </c>
      <c r="T13" s="32" t="s">
        <v>3</v>
      </c>
      <c r="U13" s="32" t="s">
        <v>3</v>
      </c>
      <c r="V13" s="24"/>
    </row>
    <row r="14" spans="1:22" x14ac:dyDescent="0.2">
      <c r="A14" s="61" t="s">
        <v>123</v>
      </c>
      <c r="B14" s="61" t="s">
        <v>124</v>
      </c>
      <c r="C14" s="61" t="s">
        <v>67</v>
      </c>
      <c r="D14" s="32">
        <v>2284</v>
      </c>
      <c r="E14" s="24"/>
      <c r="G14" s="25">
        <f t="shared" si="0"/>
        <v>0</v>
      </c>
      <c r="H14" s="31">
        <v>467</v>
      </c>
      <c r="I14" s="37" t="s">
        <v>25</v>
      </c>
      <c r="J14" s="32">
        <v>1890.24</v>
      </c>
      <c r="K14" s="32">
        <v>315.04000000000002</v>
      </c>
      <c r="L14" s="32" t="s">
        <v>3</v>
      </c>
      <c r="M14" s="32" t="s">
        <v>3</v>
      </c>
      <c r="N14" s="32" t="s">
        <v>3</v>
      </c>
      <c r="O14" s="32" t="s">
        <v>3</v>
      </c>
      <c r="P14" s="32" t="s">
        <v>3</v>
      </c>
      <c r="Q14" s="32">
        <v>2284</v>
      </c>
      <c r="R14" s="32" t="s">
        <v>3</v>
      </c>
      <c r="S14" s="32" t="s">
        <v>3</v>
      </c>
      <c r="T14" s="32" t="s">
        <v>3</v>
      </c>
      <c r="U14" s="32" t="s">
        <v>3</v>
      </c>
      <c r="V14" s="24"/>
    </row>
    <row r="15" spans="1:22" x14ac:dyDescent="0.2">
      <c r="A15" s="61" t="s">
        <v>125</v>
      </c>
      <c r="B15" s="61" t="s">
        <v>126</v>
      </c>
      <c r="C15" s="61" t="s">
        <v>68</v>
      </c>
      <c r="D15" s="32">
        <v>2108</v>
      </c>
      <c r="E15" s="28"/>
      <c r="G15" s="25">
        <f t="shared" si="0"/>
        <v>0</v>
      </c>
      <c r="H15" s="31">
        <v>478</v>
      </c>
      <c r="I15" s="37" t="s">
        <v>26</v>
      </c>
      <c r="J15" s="32">
        <v>1890.24</v>
      </c>
      <c r="K15" s="32">
        <v>315.04000000000002</v>
      </c>
      <c r="L15" s="32" t="s">
        <v>3</v>
      </c>
      <c r="M15" s="32" t="s">
        <v>3</v>
      </c>
      <c r="N15" s="32">
        <v>176.15</v>
      </c>
      <c r="O15" s="32" t="s">
        <v>3</v>
      </c>
      <c r="P15" s="32" t="s">
        <v>3</v>
      </c>
      <c r="Q15" s="32">
        <v>2108</v>
      </c>
      <c r="R15" s="32" t="s">
        <v>3</v>
      </c>
      <c r="S15" s="32" t="s">
        <v>3</v>
      </c>
      <c r="T15" s="32" t="s">
        <v>3</v>
      </c>
      <c r="U15" s="32" t="s">
        <v>3</v>
      </c>
      <c r="V15" s="28"/>
    </row>
    <row r="16" spans="1:22" x14ac:dyDescent="0.2">
      <c r="A16" s="61" t="s">
        <v>127</v>
      </c>
      <c r="B16" s="61" t="s">
        <v>128</v>
      </c>
      <c r="C16" s="61" t="s">
        <v>69</v>
      </c>
      <c r="D16" s="32">
        <v>3157.2</v>
      </c>
      <c r="E16" s="24"/>
      <c r="G16" s="25">
        <f t="shared" si="0"/>
        <v>0</v>
      </c>
      <c r="H16" s="31">
        <v>487</v>
      </c>
      <c r="I16" s="37" t="s">
        <v>27</v>
      </c>
      <c r="J16" s="32">
        <v>2657.16</v>
      </c>
      <c r="K16" s="32">
        <v>442.86</v>
      </c>
      <c r="L16" s="32" t="s">
        <v>3</v>
      </c>
      <c r="M16" s="32" t="s">
        <v>3</v>
      </c>
      <c r="N16" s="32" t="s">
        <v>3</v>
      </c>
      <c r="O16" s="32">
        <v>322.31</v>
      </c>
      <c r="P16" s="32">
        <v>81.349999999999994</v>
      </c>
      <c r="Q16" s="32">
        <v>3157.2</v>
      </c>
      <c r="R16" s="32" t="s">
        <v>3</v>
      </c>
      <c r="S16" s="32" t="s">
        <v>3</v>
      </c>
      <c r="T16" s="32" t="s">
        <v>3</v>
      </c>
      <c r="U16" s="32">
        <v>350</v>
      </c>
      <c r="V16" s="24"/>
    </row>
    <row r="17" spans="1:22" x14ac:dyDescent="0.2">
      <c r="A17" s="61" t="s">
        <v>129</v>
      </c>
      <c r="B17" s="61" t="s">
        <v>130</v>
      </c>
      <c r="C17" s="61" t="s">
        <v>70</v>
      </c>
      <c r="D17" s="32">
        <v>1906.2</v>
      </c>
      <c r="E17" s="24"/>
      <c r="G17" s="25">
        <f t="shared" si="0"/>
        <v>0</v>
      </c>
      <c r="H17" s="31">
        <v>538</v>
      </c>
      <c r="I17" s="37" t="s">
        <v>28</v>
      </c>
      <c r="J17" s="32">
        <v>1890.24</v>
      </c>
      <c r="K17" s="32">
        <v>315.04000000000002</v>
      </c>
      <c r="L17" s="32" t="s">
        <v>3</v>
      </c>
      <c r="M17" s="32" t="s">
        <v>3</v>
      </c>
      <c r="N17" s="32">
        <v>377.93</v>
      </c>
      <c r="O17" s="32" t="s">
        <v>3</v>
      </c>
      <c r="P17" s="32" t="s">
        <v>3</v>
      </c>
      <c r="Q17" s="32">
        <v>1906.2</v>
      </c>
      <c r="R17" s="32" t="s">
        <v>3</v>
      </c>
      <c r="S17" s="32" t="s">
        <v>3</v>
      </c>
      <c r="T17" s="32" t="s">
        <v>3</v>
      </c>
      <c r="U17" s="32" t="s">
        <v>3</v>
      </c>
      <c r="V17" s="24"/>
    </row>
    <row r="18" spans="1:22" x14ac:dyDescent="0.2">
      <c r="A18" s="61" t="s">
        <v>131</v>
      </c>
      <c r="B18" s="61" t="s">
        <v>132</v>
      </c>
      <c r="C18" s="61" t="s">
        <v>71</v>
      </c>
      <c r="D18" s="32">
        <v>2284</v>
      </c>
      <c r="E18" s="24"/>
      <c r="G18" s="25">
        <f t="shared" si="0"/>
        <v>0</v>
      </c>
      <c r="H18" s="31">
        <v>546</v>
      </c>
      <c r="I18" s="37" t="s">
        <v>29</v>
      </c>
      <c r="J18" s="32">
        <v>1890.24</v>
      </c>
      <c r="K18" s="32">
        <v>315.04000000000002</v>
      </c>
      <c r="L18" s="32" t="s">
        <v>3</v>
      </c>
      <c r="M18" s="32" t="s">
        <v>3</v>
      </c>
      <c r="N18" s="32" t="s">
        <v>3</v>
      </c>
      <c r="O18" s="32" t="s">
        <v>3</v>
      </c>
      <c r="P18" s="32" t="s">
        <v>3</v>
      </c>
      <c r="Q18" s="32">
        <v>2284</v>
      </c>
      <c r="R18" s="32" t="s">
        <v>3</v>
      </c>
      <c r="S18" s="32" t="s">
        <v>3</v>
      </c>
      <c r="T18" s="32" t="s">
        <v>3</v>
      </c>
      <c r="U18" s="32" t="s">
        <v>3</v>
      </c>
      <c r="V18" s="24"/>
    </row>
    <row r="19" spans="1:22" x14ac:dyDescent="0.2">
      <c r="A19" s="61" t="s">
        <v>133</v>
      </c>
      <c r="B19" s="61" t="s">
        <v>134</v>
      </c>
      <c r="C19" s="61" t="s">
        <v>72</v>
      </c>
      <c r="D19" s="32">
        <v>2284</v>
      </c>
      <c r="E19" s="24"/>
      <c r="G19" s="25">
        <f t="shared" si="0"/>
        <v>0</v>
      </c>
      <c r="H19" s="31">
        <v>553</v>
      </c>
      <c r="I19" s="37" t="s">
        <v>30</v>
      </c>
      <c r="J19" s="32">
        <v>1890.24</v>
      </c>
      <c r="K19" s="32">
        <v>315.04000000000002</v>
      </c>
      <c r="L19" s="32" t="s">
        <v>3</v>
      </c>
      <c r="M19" s="32" t="s">
        <v>3</v>
      </c>
      <c r="N19" s="32" t="s">
        <v>3</v>
      </c>
      <c r="O19" s="32" t="s">
        <v>3</v>
      </c>
      <c r="P19" s="32" t="s">
        <v>3</v>
      </c>
      <c r="Q19" s="32">
        <v>2284</v>
      </c>
      <c r="R19" s="32" t="s">
        <v>3</v>
      </c>
      <c r="S19" s="32" t="s">
        <v>3</v>
      </c>
      <c r="T19" s="32" t="s">
        <v>3</v>
      </c>
      <c r="U19" s="32" t="s">
        <v>3</v>
      </c>
      <c r="V19" s="24"/>
    </row>
    <row r="20" spans="1:22" x14ac:dyDescent="0.2">
      <c r="A20" s="61" t="s">
        <v>135</v>
      </c>
      <c r="B20" s="61" t="s">
        <v>136</v>
      </c>
      <c r="C20" s="61" t="s">
        <v>73</v>
      </c>
      <c r="D20" s="32">
        <v>2525</v>
      </c>
      <c r="E20" s="47"/>
      <c r="G20" s="25">
        <f t="shared" si="0"/>
        <v>0</v>
      </c>
      <c r="H20" s="31">
        <v>572</v>
      </c>
      <c r="I20" s="37" t="s">
        <v>31</v>
      </c>
      <c r="J20" s="32">
        <v>2323.1999999999998</v>
      </c>
      <c r="K20" s="32">
        <v>387.2</v>
      </c>
      <c r="L20" s="32" t="s">
        <v>3</v>
      </c>
      <c r="M20" s="32" t="s">
        <v>3</v>
      </c>
      <c r="N20" s="32" t="s">
        <v>3</v>
      </c>
      <c r="O20" s="32">
        <v>212.23</v>
      </c>
      <c r="P20" s="32">
        <v>69.930000000000007</v>
      </c>
      <c r="Q20" s="32">
        <v>2525</v>
      </c>
      <c r="R20" s="32" t="s">
        <v>3</v>
      </c>
      <c r="S20" s="32" t="s">
        <v>3</v>
      </c>
      <c r="T20" s="32" t="s">
        <v>3</v>
      </c>
      <c r="U20" s="32" t="s">
        <v>3</v>
      </c>
      <c r="V20" s="47"/>
    </row>
    <row r="21" spans="1:22" x14ac:dyDescent="0.2">
      <c r="A21" s="61" t="s">
        <v>137</v>
      </c>
      <c r="B21" s="61" t="s">
        <v>138</v>
      </c>
      <c r="C21" s="61" t="s">
        <v>74</v>
      </c>
      <c r="D21" s="65"/>
      <c r="E21" s="66" t="s">
        <v>264</v>
      </c>
      <c r="G21" s="25">
        <f t="shared" si="0"/>
        <v>0</v>
      </c>
      <c r="H21" s="63">
        <v>574</v>
      </c>
      <c r="I21" s="64" t="s">
        <v>32</v>
      </c>
      <c r="J21" s="65" t="s">
        <v>3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6" t="s">
        <v>264</v>
      </c>
    </row>
    <row r="22" spans="1:22" x14ac:dyDescent="0.2">
      <c r="A22" s="61" t="s">
        <v>139</v>
      </c>
      <c r="B22" s="61" t="s">
        <v>140</v>
      </c>
      <c r="C22" s="61" t="s">
        <v>75</v>
      </c>
      <c r="D22" s="32">
        <v>2320.1999999999998</v>
      </c>
      <c r="E22" s="62"/>
      <c r="G22" s="25">
        <f t="shared" si="0"/>
        <v>0</v>
      </c>
      <c r="H22" s="31">
        <v>616</v>
      </c>
      <c r="I22" s="37" t="s">
        <v>33</v>
      </c>
      <c r="J22" s="32">
        <v>2009.76</v>
      </c>
      <c r="K22" s="32">
        <v>334.96</v>
      </c>
      <c r="L22" s="32" t="s">
        <v>3</v>
      </c>
      <c r="M22" s="32" t="s">
        <v>3</v>
      </c>
      <c r="N22" s="32" t="s">
        <v>3</v>
      </c>
      <c r="O22" s="32">
        <v>48.98</v>
      </c>
      <c r="P22" s="32">
        <v>59.12</v>
      </c>
      <c r="Q22" s="32">
        <v>2320.1999999999998</v>
      </c>
      <c r="R22" s="32" t="s">
        <v>3</v>
      </c>
      <c r="S22" s="32" t="s">
        <v>3</v>
      </c>
      <c r="T22" s="32" t="s">
        <v>3</v>
      </c>
      <c r="U22" s="32" t="s">
        <v>3</v>
      </c>
      <c r="V22" s="62"/>
    </row>
    <row r="23" spans="1:22" x14ac:dyDescent="0.2">
      <c r="A23" s="61" t="s">
        <v>141</v>
      </c>
      <c r="B23" s="61" t="s">
        <v>142</v>
      </c>
      <c r="C23" s="61" t="s">
        <v>76</v>
      </c>
      <c r="D23" s="32">
        <v>2284</v>
      </c>
      <c r="E23" s="47"/>
      <c r="G23" s="25">
        <f t="shared" si="0"/>
        <v>0</v>
      </c>
      <c r="H23" s="31">
        <v>624</v>
      </c>
      <c r="I23" s="37" t="s">
        <v>34</v>
      </c>
      <c r="J23" s="32">
        <v>1890.24</v>
      </c>
      <c r="K23" s="32">
        <v>315.04000000000002</v>
      </c>
      <c r="L23" s="32" t="s">
        <v>3</v>
      </c>
      <c r="M23" s="32" t="s">
        <v>3</v>
      </c>
      <c r="N23" s="32" t="s">
        <v>3</v>
      </c>
      <c r="O23" s="32" t="s">
        <v>3</v>
      </c>
      <c r="P23" s="32" t="s">
        <v>3</v>
      </c>
      <c r="Q23" s="32">
        <v>2284</v>
      </c>
      <c r="R23" s="32" t="s">
        <v>3</v>
      </c>
      <c r="S23" s="32" t="s">
        <v>3</v>
      </c>
      <c r="T23" s="32" t="s">
        <v>3</v>
      </c>
      <c r="U23" s="32" t="s">
        <v>3</v>
      </c>
      <c r="V23" s="47"/>
    </row>
    <row r="24" spans="1:22" x14ac:dyDescent="0.2">
      <c r="A24" s="61" t="s">
        <v>143</v>
      </c>
      <c r="B24" s="61" t="s">
        <v>144</v>
      </c>
      <c r="C24" s="61" t="s">
        <v>77</v>
      </c>
      <c r="D24" s="32">
        <v>2284</v>
      </c>
      <c r="E24" s="24"/>
      <c r="G24" s="25">
        <f t="shared" si="0"/>
        <v>0</v>
      </c>
      <c r="H24" s="31">
        <v>668</v>
      </c>
      <c r="I24" s="37" t="s">
        <v>51</v>
      </c>
      <c r="J24" s="32">
        <v>1890.24</v>
      </c>
      <c r="K24" s="32">
        <v>315.04000000000002</v>
      </c>
      <c r="L24" s="32" t="s">
        <v>3</v>
      </c>
      <c r="M24" s="32" t="s">
        <v>3</v>
      </c>
      <c r="N24" s="32" t="s">
        <v>3</v>
      </c>
      <c r="O24" s="32" t="s">
        <v>3</v>
      </c>
      <c r="P24" s="32" t="s">
        <v>3</v>
      </c>
      <c r="Q24" s="32">
        <v>2284</v>
      </c>
      <c r="R24" s="32" t="s">
        <v>3</v>
      </c>
      <c r="S24" s="32" t="s">
        <v>3</v>
      </c>
      <c r="T24" s="32" t="s">
        <v>3</v>
      </c>
      <c r="U24" s="32" t="s">
        <v>3</v>
      </c>
      <c r="V24" s="24"/>
    </row>
    <row r="25" spans="1:22" x14ac:dyDescent="0.2">
      <c r="A25" s="61" t="s">
        <v>145</v>
      </c>
      <c r="B25" s="61" t="s">
        <v>146</v>
      </c>
      <c r="C25" s="61" t="s">
        <v>78</v>
      </c>
      <c r="D25" s="32">
        <v>2284</v>
      </c>
      <c r="E25" s="24"/>
      <c r="G25" s="25">
        <f t="shared" si="0"/>
        <v>0</v>
      </c>
      <c r="H25" s="31">
        <v>677</v>
      </c>
      <c r="I25" s="37" t="s">
        <v>36</v>
      </c>
      <c r="J25" s="32">
        <v>1890.24</v>
      </c>
      <c r="K25" s="32">
        <v>315.04000000000002</v>
      </c>
      <c r="L25" s="32" t="s">
        <v>3</v>
      </c>
      <c r="M25" s="32" t="s">
        <v>3</v>
      </c>
      <c r="N25" s="32" t="s">
        <v>3</v>
      </c>
      <c r="O25" s="32" t="s">
        <v>3</v>
      </c>
      <c r="P25" s="32" t="s">
        <v>3</v>
      </c>
      <c r="Q25" s="32">
        <v>2284</v>
      </c>
      <c r="R25" s="32" t="s">
        <v>3</v>
      </c>
      <c r="S25" s="32" t="s">
        <v>3</v>
      </c>
      <c r="T25" s="32" t="s">
        <v>3</v>
      </c>
      <c r="U25" s="32" t="s">
        <v>3</v>
      </c>
      <c r="V25" s="24"/>
    </row>
    <row r="26" spans="1:22" x14ac:dyDescent="0.2">
      <c r="A26" s="61" t="s">
        <v>147</v>
      </c>
      <c r="B26" s="61" t="s">
        <v>148</v>
      </c>
      <c r="C26" s="61" t="s">
        <v>79</v>
      </c>
      <c r="D26" s="32">
        <v>2525.4</v>
      </c>
      <c r="E26" s="24"/>
      <c r="G26" s="25">
        <f t="shared" si="0"/>
        <v>0</v>
      </c>
      <c r="H26" s="31">
        <v>683</v>
      </c>
      <c r="I26" s="37" t="s">
        <v>37</v>
      </c>
      <c r="J26" s="32">
        <v>2323.1999999999998</v>
      </c>
      <c r="K26" s="32">
        <v>387.2</v>
      </c>
      <c r="L26" s="32" t="s">
        <v>3</v>
      </c>
      <c r="M26" s="32" t="s">
        <v>3</v>
      </c>
      <c r="N26" s="32" t="s">
        <v>3</v>
      </c>
      <c r="O26" s="32">
        <v>212.23</v>
      </c>
      <c r="P26" s="32">
        <v>69.430000000000007</v>
      </c>
      <c r="Q26" s="32">
        <v>2525.4</v>
      </c>
      <c r="R26" s="32" t="s">
        <v>3</v>
      </c>
      <c r="S26" s="32" t="s">
        <v>3</v>
      </c>
      <c r="T26" s="32" t="s">
        <v>3</v>
      </c>
      <c r="U26" s="32" t="s">
        <v>3</v>
      </c>
      <c r="V26" s="24"/>
    </row>
    <row r="27" spans="1:22" x14ac:dyDescent="0.2">
      <c r="A27" s="61" t="s">
        <v>149</v>
      </c>
      <c r="B27" s="61" t="s">
        <v>150</v>
      </c>
      <c r="C27" s="61" t="s">
        <v>80</v>
      </c>
      <c r="D27" s="32">
        <v>2284</v>
      </c>
      <c r="E27" s="47"/>
      <c r="G27" s="25">
        <f t="shared" si="0"/>
        <v>0</v>
      </c>
      <c r="H27" s="31">
        <v>696</v>
      </c>
      <c r="I27" s="37" t="s">
        <v>38</v>
      </c>
      <c r="J27" s="32">
        <v>1890.24</v>
      </c>
      <c r="K27" s="32">
        <v>315.04000000000002</v>
      </c>
      <c r="L27" s="32" t="s">
        <v>3</v>
      </c>
      <c r="M27" s="32" t="s">
        <v>3</v>
      </c>
      <c r="N27" s="32" t="s">
        <v>3</v>
      </c>
      <c r="O27" s="32" t="s">
        <v>3</v>
      </c>
      <c r="P27" s="32" t="s">
        <v>3</v>
      </c>
      <c r="Q27" s="32">
        <v>2284</v>
      </c>
      <c r="R27" s="32" t="s">
        <v>3</v>
      </c>
      <c r="S27" s="32" t="s">
        <v>3</v>
      </c>
      <c r="T27" s="32" t="s">
        <v>3</v>
      </c>
      <c r="U27" s="32" t="s">
        <v>3</v>
      </c>
      <c r="V27" s="47"/>
    </row>
    <row r="28" spans="1:22" x14ac:dyDescent="0.2">
      <c r="A28" s="61" t="s">
        <v>151</v>
      </c>
      <c r="B28" s="61" t="s">
        <v>152</v>
      </c>
      <c r="C28" s="61" t="s">
        <v>92</v>
      </c>
      <c r="D28" s="32">
        <v>2284</v>
      </c>
      <c r="E28" s="24"/>
      <c r="G28" s="25">
        <f t="shared" si="0"/>
        <v>0</v>
      </c>
      <c r="H28" s="31">
        <v>697</v>
      </c>
      <c r="I28" s="37" t="s">
        <v>87</v>
      </c>
      <c r="J28" s="32">
        <v>1890.24</v>
      </c>
      <c r="K28" s="32">
        <v>315.04000000000002</v>
      </c>
      <c r="L28" s="32" t="s">
        <v>3</v>
      </c>
      <c r="M28" s="32" t="s">
        <v>3</v>
      </c>
      <c r="N28" s="32" t="s">
        <v>3</v>
      </c>
      <c r="O28" s="32" t="s">
        <v>3</v>
      </c>
      <c r="P28" s="32" t="s">
        <v>3</v>
      </c>
      <c r="Q28" s="32">
        <v>2284</v>
      </c>
      <c r="R28" s="32" t="s">
        <v>3</v>
      </c>
      <c r="S28" s="32" t="s">
        <v>3</v>
      </c>
      <c r="T28" s="32" t="s">
        <v>3</v>
      </c>
      <c r="U28" s="32" t="s">
        <v>3</v>
      </c>
      <c r="V28" s="24"/>
    </row>
    <row r="29" spans="1:22" x14ac:dyDescent="0.2">
      <c r="A29" s="61" t="s">
        <v>153</v>
      </c>
      <c r="B29" s="61" t="s">
        <v>154</v>
      </c>
      <c r="C29" s="61" t="s">
        <v>93</v>
      </c>
      <c r="D29" s="32">
        <v>2284</v>
      </c>
      <c r="E29" s="47"/>
      <c r="G29" s="25">
        <f t="shared" si="0"/>
        <v>0</v>
      </c>
      <c r="H29" s="31">
        <v>712</v>
      </c>
      <c r="I29" s="37" t="s">
        <v>39</v>
      </c>
      <c r="J29" s="32">
        <v>1890.24</v>
      </c>
      <c r="K29" s="32">
        <v>315.04000000000002</v>
      </c>
      <c r="L29" s="32" t="s">
        <v>3</v>
      </c>
      <c r="M29" s="32" t="s">
        <v>3</v>
      </c>
      <c r="N29" s="32" t="s">
        <v>3</v>
      </c>
      <c r="O29" s="32" t="s">
        <v>3</v>
      </c>
      <c r="P29" s="32" t="s">
        <v>3</v>
      </c>
      <c r="Q29" s="32">
        <v>2284</v>
      </c>
      <c r="R29" s="32" t="s">
        <v>3</v>
      </c>
      <c r="S29" s="32" t="s">
        <v>3</v>
      </c>
      <c r="T29" s="32" t="s">
        <v>3</v>
      </c>
      <c r="U29" s="32" t="s">
        <v>3</v>
      </c>
      <c r="V29" s="47"/>
    </row>
    <row r="30" spans="1:22" x14ac:dyDescent="0.2">
      <c r="A30" s="61" t="s">
        <v>155</v>
      </c>
      <c r="B30" s="61" t="s">
        <v>156</v>
      </c>
      <c r="C30" s="61" t="s">
        <v>83</v>
      </c>
      <c r="D30" s="32">
        <v>2284.1999999999998</v>
      </c>
      <c r="E30" s="24"/>
      <c r="G30" s="25">
        <f t="shared" si="0"/>
        <v>0</v>
      </c>
      <c r="H30" s="31">
        <v>714</v>
      </c>
      <c r="I30" s="37" t="s">
        <v>40</v>
      </c>
      <c r="J30" s="32">
        <v>1890.24</v>
      </c>
      <c r="K30" s="32">
        <v>315.04000000000002</v>
      </c>
      <c r="L30" s="32" t="s">
        <v>3</v>
      </c>
      <c r="M30" s="32" t="s">
        <v>3</v>
      </c>
      <c r="N30" s="32" t="s">
        <v>3</v>
      </c>
      <c r="O30" s="32" t="s">
        <v>3</v>
      </c>
      <c r="P30" s="32" t="s">
        <v>3</v>
      </c>
      <c r="Q30" s="32">
        <v>2284.1999999999998</v>
      </c>
      <c r="R30" s="32" t="s">
        <v>3</v>
      </c>
      <c r="S30" s="32" t="s">
        <v>3</v>
      </c>
      <c r="T30" s="32" t="s">
        <v>3</v>
      </c>
      <c r="U30" s="32" t="s">
        <v>3</v>
      </c>
      <c r="V30" s="24"/>
    </row>
    <row r="31" spans="1:22" x14ac:dyDescent="0.2">
      <c r="A31" s="61" t="s">
        <v>235</v>
      </c>
      <c r="B31" s="61" t="s">
        <v>236</v>
      </c>
      <c r="C31" s="61" t="s">
        <v>237</v>
      </c>
      <c r="D31" s="55">
        <v>2284</v>
      </c>
      <c r="E31" s="24"/>
      <c r="G31" s="25">
        <f t="shared" si="0"/>
        <v>0</v>
      </c>
      <c r="H31" s="53">
        <v>733</v>
      </c>
      <c r="I31" s="54" t="s">
        <v>220</v>
      </c>
      <c r="J31" s="55">
        <v>1890.24</v>
      </c>
      <c r="K31" s="55">
        <v>315.04000000000002</v>
      </c>
      <c r="L31" s="55" t="s">
        <v>3</v>
      </c>
      <c r="M31" s="55" t="s">
        <v>3</v>
      </c>
      <c r="N31" s="55" t="s">
        <v>3</v>
      </c>
      <c r="O31" s="55" t="s">
        <v>3</v>
      </c>
      <c r="P31" s="55" t="s">
        <v>3</v>
      </c>
      <c r="Q31" s="55">
        <v>2284</v>
      </c>
      <c r="R31" s="55" t="s">
        <v>3</v>
      </c>
      <c r="S31" s="55" t="s">
        <v>3</v>
      </c>
      <c r="T31" s="55" t="s">
        <v>3</v>
      </c>
      <c r="U31" s="55" t="s">
        <v>3</v>
      </c>
      <c r="V31" s="24"/>
    </row>
    <row r="32" spans="1:22" x14ac:dyDescent="0.2">
      <c r="A32" s="61" t="s">
        <v>157</v>
      </c>
      <c r="B32" s="61" t="s">
        <v>158</v>
      </c>
      <c r="C32" s="61" t="s">
        <v>84</v>
      </c>
      <c r="D32" s="32">
        <v>2284.1999999999998</v>
      </c>
      <c r="E32" s="24"/>
      <c r="G32" s="25">
        <f>+A31-H31</f>
        <v>0</v>
      </c>
      <c r="H32" s="31">
        <v>742</v>
      </c>
      <c r="I32" s="37" t="s">
        <v>49</v>
      </c>
      <c r="J32" s="32">
        <v>1890.24</v>
      </c>
      <c r="K32" s="32">
        <v>315.04000000000002</v>
      </c>
      <c r="L32" s="32" t="s">
        <v>3</v>
      </c>
      <c r="M32" s="32" t="s">
        <v>3</v>
      </c>
      <c r="N32" s="32" t="s">
        <v>3</v>
      </c>
      <c r="O32" s="32" t="s">
        <v>3</v>
      </c>
      <c r="P32" s="32" t="s">
        <v>3</v>
      </c>
      <c r="Q32" s="32">
        <v>2284.1999999999998</v>
      </c>
      <c r="R32" s="32" t="s">
        <v>3</v>
      </c>
      <c r="S32" s="32" t="s">
        <v>3</v>
      </c>
      <c r="T32" s="32" t="s">
        <v>3</v>
      </c>
      <c r="U32" s="32" t="s">
        <v>3</v>
      </c>
      <c r="V32" s="24"/>
    </row>
    <row r="33" spans="1:25" x14ac:dyDescent="0.2">
      <c r="A33" s="61" t="s">
        <v>159</v>
      </c>
      <c r="B33" s="61" t="s">
        <v>160</v>
      </c>
      <c r="C33" s="61" t="s">
        <v>81</v>
      </c>
      <c r="D33" s="65">
        <v>2362.8000000000002</v>
      </c>
      <c r="E33" s="24"/>
      <c r="G33" s="25">
        <f>+A32-H32</f>
        <v>0</v>
      </c>
      <c r="H33" s="63">
        <v>743</v>
      </c>
      <c r="I33" s="64" t="s">
        <v>50</v>
      </c>
      <c r="J33" s="65">
        <v>1575.2</v>
      </c>
      <c r="K33" s="65">
        <v>315.04000000000002</v>
      </c>
      <c r="L33" s="65" t="s">
        <v>3</v>
      </c>
      <c r="M33" s="65" t="s">
        <v>3</v>
      </c>
      <c r="N33" s="65" t="s">
        <v>3</v>
      </c>
      <c r="O33" s="65" t="s">
        <v>3</v>
      </c>
      <c r="P33" s="65" t="s">
        <v>3</v>
      </c>
      <c r="Q33" s="65">
        <v>2362.8000000000002</v>
      </c>
      <c r="R33" s="65">
        <v>315.04000000000002</v>
      </c>
      <c r="S33" s="65">
        <v>78.760000000000005</v>
      </c>
      <c r="T33" s="65" t="s">
        <v>3</v>
      </c>
      <c r="U33" s="65" t="s">
        <v>3</v>
      </c>
      <c r="V33" s="66" t="s">
        <v>265</v>
      </c>
      <c r="W33"/>
    </row>
    <row r="34" spans="1:25" x14ac:dyDescent="0.2">
      <c r="A34" s="61" t="s">
        <v>161</v>
      </c>
      <c r="B34" s="61" t="s">
        <v>162</v>
      </c>
      <c r="C34" s="61" t="s">
        <v>82</v>
      </c>
      <c r="D34" s="32">
        <v>2320.8000000000002</v>
      </c>
      <c r="E34" s="66" t="s">
        <v>265</v>
      </c>
      <c r="G34" s="25">
        <f>+A33-H33</f>
        <v>0</v>
      </c>
      <c r="H34" s="31">
        <v>747</v>
      </c>
      <c r="I34" s="37" t="s">
        <v>52</v>
      </c>
      <c r="J34" s="32">
        <v>2009.76</v>
      </c>
      <c r="K34" s="32">
        <v>334.96</v>
      </c>
      <c r="L34" s="32" t="s">
        <v>3</v>
      </c>
      <c r="M34" s="32" t="s">
        <v>3</v>
      </c>
      <c r="N34" s="32" t="s">
        <v>3</v>
      </c>
      <c r="O34" s="32">
        <v>48.98</v>
      </c>
      <c r="P34" s="32">
        <v>58.78</v>
      </c>
      <c r="Q34" s="32">
        <v>2320.8000000000002</v>
      </c>
      <c r="R34" s="32" t="s">
        <v>3</v>
      </c>
      <c r="S34" s="32" t="s">
        <v>3</v>
      </c>
      <c r="T34" s="32" t="s">
        <v>3</v>
      </c>
      <c r="U34" s="32" t="s">
        <v>3</v>
      </c>
      <c r="V34" s="24"/>
    </row>
    <row r="35" spans="1:25" x14ac:dyDescent="0.2">
      <c r="A35" s="61" t="s">
        <v>187</v>
      </c>
      <c r="B35" s="61" t="s">
        <v>181</v>
      </c>
      <c r="C35" s="61" t="s">
        <v>182</v>
      </c>
      <c r="D35" s="32">
        <v>2284</v>
      </c>
      <c r="E35" s="24"/>
      <c r="G35" s="25">
        <f>+A34-H34</f>
        <v>0</v>
      </c>
      <c r="H35" s="31">
        <v>772</v>
      </c>
      <c r="I35" s="37" t="s">
        <v>89</v>
      </c>
      <c r="J35" s="32">
        <v>1890.24</v>
      </c>
      <c r="K35" s="32">
        <v>315.04000000000002</v>
      </c>
      <c r="L35" s="32" t="s">
        <v>3</v>
      </c>
      <c r="M35" s="32" t="s">
        <v>3</v>
      </c>
      <c r="N35" s="32" t="s">
        <v>3</v>
      </c>
      <c r="O35" s="32" t="s">
        <v>3</v>
      </c>
      <c r="P35" s="32" t="s">
        <v>3</v>
      </c>
      <c r="Q35" s="32">
        <v>2284</v>
      </c>
      <c r="R35" s="32" t="s">
        <v>3</v>
      </c>
      <c r="S35" s="32" t="s">
        <v>3</v>
      </c>
      <c r="T35" s="32" t="s">
        <v>3</v>
      </c>
      <c r="U35" s="32" t="s">
        <v>3</v>
      </c>
      <c r="V35" s="24"/>
    </row>
    <row r="36" spans="1:25" x14ac:dyDescent="0.2">
      <c r="A36" s="61" t="s">
        <v>163</v>
      </c>
      <c r="B36" s="61" t="s">
        <v>164</v>
      </c>
      <c r="C36" s="61" t="s">
        <v>165</v>
      </c>
      <c r="D36" s="58"/>
      <c r="E36" s="24"/>
      <c r="G36" s="25">
        <f>+A35-H35</f>
        <v>0</v>
      </c>
      <c r="H36" s="56">
        <v>773</v>
      </c>
      <c r="I36" s="57" t="s">
        <v>53</v>
      </c>
      <c r="J36" s="58" t="s">
        <v>3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9" t="s">
        <v>234</v>
      </c>
    </row>
    <row r="37" spans="1:25" x14ac:dyDescent="0.2">
      <c r="A37" s="61" t="s">
        <v>166</v>
      </c>
      <c r="B37" s="61" t="s">
        <v>167</v>
      </c>
      <c r="C37" s="61" t="s">
        <v>94</v>
      </c>
      <c r="D37" s="32">
        <v>2284</v>
      </c>
      <c r="E37" s="59" t="s">
        <v>234</v>
      </c>
      <c r="G37" s="25">
        <f>+A36-H36</f>
        <v>0</v>
      </c>
      <c r="H37" s="31">
        <v>789</v>
      </c>
      <c r="I37" s="37" t="s">
        <v>85</v>
      </c>
      <c r="J37" s="32">
        <v>1890.24</v>
      </c>
      <c r="K37" s="32">
        <v>315.04000000000002</v>
      </c>
      <c r="L37" s="32" t="s">
        <v>3</v>
      </c>
      <c r="M37" s="32" t="s">
        <v>3</v>
      </c>
      <c r="N37" s="32" t="s">
        <v>3</v>
      </c>
      <c r="O37" s="32" t="s">
        <v>3</v>
      </c>
      <c r="P37" s="32" t="s">
        <v>3</v>
      </c>
      <c r="Q37" s="32">
        <v>2284</v>
      </c>
      <c r="R37" s="32" t="s">
        <v>3</v>
      </c>
      <c r="S37" s="32" t="s">
        <v>3</v>
      </c>
      <c r="T37" s="32" t="s">
        <v>3</v>
      </c>
      <c r="U37" s="32" t="s">
        <v>3</v>
      </c>
      <c r="V37" s="24"/>
    </row>
    <row r="38" spans="1:25" x14ac:dyDescent="0.2">
      <c r="A38" s="61" t="s">
        <v>168</v>
      </c>
      <c r="B38" s="61" t="s">
        <v>169</v>
      </c>
      <c r="C38" s="61" t="s">
        <v>95</v>
      </c>
      <c r="D38" s="32">
        <v>2284</v>
      </c>
      <c r="E38" s="24"/>
      <c r="G38" s="25">
        <f>+A37-H37</f>
        <v>0</v>
      </c>
      <c r="H38" s="31">
        <v>795</v>
      </c>
      <c r="I38" s="37" t="s">
        <v>86</v>
      </c>
      <c r="J38" s="32">
        <v>1890.24</v>
      </c>
      <c r="K38" s="32">
        <v>315.04000000000002</v>
      </c>
      <c r="L38" s="32" t="s">
        <v>3</v>
      </c>
      <c r="M38" s="32" t="s">
        <v>3</v>
      </c>
      <c r="N38" s="32" t="s">
        <v>3</v>
      </c>
      <c r="O38" s="32" t="s">
        <v>3</v>
      </c>
      <c r="P38" s="32" t="s">
        <v>3</v>
      </c>
      <c r="Q38" s="32">
        <v>2284</v>
      </c>
      <c r="R38" s="32" t="s">
        <v>3</v>
      </c>
      <c r="S38" s="32" t="s">
        <v>3</v>
      </c>
      <c r="T38" s="32" t="s">
        <v>3</v>
      </c>
      <c r="U38" s="32" t="s">
        <v>3</v>
      </c>
      <c r="V38" s="24"/>
    </row>
    <row r="39" spans="1:25" x14ac:dyDescent="0.2">
      <c r="A39" s="61" t="s">
        <v>170</v>
      </c>
      <c r="B39" s="61" t="s">
        <v>171</v>
      </c>
      <c r="C39" s="61" t="s">
        <v>96</v>
      </c>
      <c r="D39" s="32">
        <v>2320.8000000000002</v>
      </c>
      <c r="E39" s="24"/>
      <c r="G39" s="25">
        <f>+A38-H38</f>
        <v>0</v>
      </c>
      <c r="H39" s="31">
        <v>798</v>
      </c>
      <c r="I39" s="37" t="s">
        <v>88</v>
      </c>
      <c r="J39" s="32">
        <v>2009.76</v>
      </c>
      <c r="K39" s="32">
        <v>334.96</v>
      </c>
      <c r="L39" s="32" t="s">
        <v>3</v>
      </c>
      <c r="M39" s="32" t="s">
        <v>3</v>
      </c>
      <c r="N39" s="32" t="s">
        <v>3</v>
      </c>
      <c r="O39" s="32">
        <v>48.98</v>
      </c>
      <c r="P39" s="32">
        <v>58.78</v>
      </c>
      <c r="Q39" s="32">
        <v>2320.8000000000002</v>
      </c>
      <c r="R39" s="32" t="s">
        <v>3</v>
      </c>
      <c r="S39" s="32" t="s">
        <v>3</v>
      </c>
      <c r="T39" s="32" t="s">
        <v>3</v>
      </c>
      <c r="U39" s="32" t="s">
        <v>3</v>
      </c>
      <c r="V39" s="24"/>
    </row>
    <row r="40" spans="1:25" x14ac:dyDescent="0.2">
      <c r="A40" s="61" t="s">
        <v>172</v>
      </c>
      <c r="B40" s="61" t="s">
        <v>173</v>
      </c>
      <c r="C40" s="61" t="s">
        <v>174</v>
      </c>
      <c r="D40" s="32">
        <v>2284.1999999999998</v>
      </c>
      <c r="E40" s="24"/>
      <c r="G40" s="25">
        <f>+A39-H39</f>
        <v>0</v>
      </c>
      <c r="H40" s="31">
        <v>810</v>
      </c>
      <c r="I40" s="37" t="s">
        <v>97</v>
      </c>
      <c r="J40" s="32">
        <v>1890.24</v>
      </c>
      <c r="K40" s="32">
        <v>315.04000000000002</v>
      </c>
      <c r="L40" s="32" t="s">
        <v>3</v>
      </c>
      <c r="M40" s="32" t="s">
        <v>3</v>
      </c>
      <c r="N40" s="32" t="s">
        <v>3</v>
      </c>
      <c r="O40" s="32" t="s">
        <v>3</v>
      </c>
      <c r="P40" s="32" t="s">
        <v>3</v>
      </c>
      <c r="Q40" s="32">
        <v>2284.1999999999998</v>
      </c>
      <c r="R40" s="32" t="s">
        <v>3</v>
      </c>
      <c r="S40" s="32" t="s">
        <v>3</v>
      </c>
      <c r="T40" s="32" t="s">
        <v>3</v>
      </c>
      <c r="U40" s="32" t="s">
        <v>3</v>
      </c>
      <c r="V40" s="24"/>
    </row>
    <row r="41" spans="1:25" x14ac:dyDescent="0.2">
      <c r="A41" s="61" t="s">
        <v>177</v>
      </c>
      <c r="B41" s="61" t="s">
        <v>178</v>
      </c>
      <c r="C41" s="61" t="s">
        <v>179</v>
      </c>
      <c r="D41" s="32">
        <v>2284</v>
      </c>
      <c r="E41" s="24"/>
      <c r="G41" s="25">
        <f>+A40-H40</f>
        <v>0</v>
      </c>
      <c r="H41" s="31">
        <v>823</v>
      </c>
      <c r="I41" s="37" t="s">
        <v>98</v>
      </c>
      <c r="J41" s="32">
        <v>1890.24</v>
      </c>
      <c r="K41" s="32">
        <v>315.04000000000002</v>
      </c>
      <c r="L41" s="32" t="s">
        <v>3</v>
      </c>
      <c r="M41" s="32" t="s">
        <v>3</v>
      </c>
      <c r="N41" s="32" t="s">
        <v>3</v>
      </c>
      <c r="O41" s="32" t="s">
        <v>3</v>
      </c>
      <c r="P41" s="32" t="s">
        <v>3</v>
      </c>
      <c r="Q41" s="32">
        <v>2284</v>
      </c>
      <c r="R41" s="32" t="s">
        <v>3</v>
      </c>
      <c r="S41" s="32" t="s">
        <v>3</v>
      </c>
      <c r="T41" s="32" t="s">
        <v>3</v>
      </c>
      <c r="U41" s="32" t="s">
        <v>3</v>
      </c>
      <c r="V41" s="24"/>
    </row>
    <row r="42" spans="1:25" x14ac:dyDescent="0.2">
      <c r="A42" s="61" t="s">
        <v>184</v>
      </c>
      <c r="B42" s="61" t="s">
        <v>185</v>
      </c>
      <c r="C42" s="61" t="s">
        <v>186</v>
      </c>
      <c r="D42" s="32">
        <v>1549</v>
      </c>
      <c r="E42" s="24"/>
      <c r="G42" s="25">
        <f>+A41-H41</f>
        <v>0</v>
      </c>
      <c r="H42" s="31">
        <v>839</v>
      </c>
      <c r="I42" s="37" t="s">
        <v>180</v>
      </c>
      <c r="J42" s="32">
        <v>1260.1600000000001</v>
      </c>
      <c r="K42" s="32">
        <v>210.03</v>
      </c>
      <c r="L42" s="32" t="s">
        <v>3</v>
      </c>
      <c r="M42" s="32" t="s">
        <v>3</v>
      </c>
      <c r="N42" s="32" t="s">
        <v>3</v>
      </c>
      <c r="O42" s="32" t="s">
        <v>3</v>
      </c>
      <c r="P42" s="32" t="s">
        <v>3</v>
      </c>
      <c r="Q42" s="32">
        <v>1549</v>
      </c>
      <c r="R42" s="32" t="s">
        <v>3</v>
      </c>
      <c r="S42" s="32" t="s">
        <v>3</v>
      </c>
      <c r="T42" s="32" t="s">
        <v>3</v>
      </c>
      <c r="U42" s="32" t="s">
        <v>3</v>
      </c>
      <c r="V42" s="24"/>
    </row>
    <row r="43" spans="1:25" x14ac:dyDescent="0.2">
      <c r="A43" s="61" t="s">
        <v>238</v>
      </c>
      <c r="B43" s="61" t="s">
        <v>239</v>
      </c>
      <c r="C43" s="61" t="s">
        <v>240</v>
      </c>
      <c r="D43" s="32">
        <v>2284</v>
      </c>
      <c r="E43" s="24"/>
      <c r="G43" s="25">
        <f>+A42-H42</f>
        <v>0</v>
      </c>
      <c r="H43" s="31">
        <v>855</v>
      </c>
      <c r="I43" s="37" t="s">
        <v>230</v>
      </c>
      <c r="J43" s="32">
        <v>1890.24</v>
      </c>
      <c r="K43" s="32">
        <v>315.04000000000002</v>
      </c>
      <c r="L43" s="32" t="s">
        <v>3</v>
      </c>
      <c r="M43" s="32" t="s">
        <v>3</v>
      </c>
      <c r="N43" s="32" t="s">
        <v>3</v>
      </c>
      <c r="O43" s="32" t="s">
        <v>3</v>
      </c>
      <c r="P43" s="32" t="s">
        <v>3</v>
      </c>
      <c r="Q43" s="32">
        <v>2284</v>
      </c>
      <c r="R43" s="32" t="s">
        <v>3</v>
      </c>
      <c r="S43" s="32" t="s">
        <v>3</v>
      </c>
      <c r="T43" s="32" t="s">
        <v>3</v>
      </c>
      <c r="U43" s="32" t="s">
        <v>3</v>
      </c>
      <c r="V43" s="24"/>
      <c r="Y43"/>
    </row>
    <row r="44" spans="1:25" customFormat="1" x14ac:dyDescent="0.2">
      <c r="A44" s="61" t="s">
        <v>241</v>
      </c>
      <c r="B44" s="61" t="s">
        <v>242</v>
      </c>
      <c r="C44" s="61" t="s">
        <v>243</v>
      </c>
      <c r="D44" s="32">
        <v>2284</v>
      </c>
      <c r="E44" s="24"/>
      <c r="G44" s="25">
        <f>+A43-H43</f>
        <v>0</v>
      </c>
      <c r="H44" s="31">
        <v>862</v>
      </c>
      <c r="I44" s="37" t="s">
        <v>209</v>
      </c>
      <c r="J44" s="32">
        <v>1890.24</v>
      </c>
      <c r="K44" s="32">
        <v>315.04000000000002</v>
      </c>
      <c r="L44" s="32" t="s">
        <v>3</v>
      </c>
      <c r="M44" s="32" t="s">
        <v>3</v>
      </c>
      <c r="N44" s="32" t="s">
        <v>3</v>
      </c>
      <c r="O44" s="32" t="s">
        <v>3</v>
      </c>
      <c r="P44" s="32" t="s">
        <v>3</v>
      </c>
      <c r="Q44" s="32">
        <v>2284</v>
      </c>
      <c r="R44" s="32" t="s">
        <v>3</v>
      </c>
      <c r="S44" s="32" t="s">
        <v>3</v>
      </c>
      <c r="T44" s="32" t="s">
        <v>3</v>
      </c>
      <c r="U44" s="32" t="s">
        <v>3</v>
      </c>
      <c r="V44" s="24"/>
      <c r="W44" s="1"/>
      <c r="X44" s="1"/>
      <c r="Y44" s="1"/>
    </row>
    <row r="45" spans="1:25" x14ac:dyDescent="0.2">
      <c r="A45" s="61" t="s">
        <v>190</v>
      </c>
      <c r="B45" s="61" t="s">
        <v>191</v>
      </c>
      <c r="C45" s="61" t="s">
        <v>192</v>
      </c>
      <c r="D45" s="32">
        <v>2284</v>
      </c>
      <c r="E45" s="24"/>
      <c r="G45" s="25">
        <f>+A44-H44</f>
        <v>0</v>
      </c>
      <c r="H45" s="31">
        <v>869</v>
      </c>
      <c r="I45" s="37" t="s">
        <v>188</v>
      </c>
      <c r="J45" s="32">
        <v>1890.24</v>
      </c>
      <c r="K45" s="32">
        <v>315.04000000000002</v>
      </c>
      <c r="L45" s="32" t="s">
        <v>3</v>
      </c>
      <c r="M45" s="32" t="s">
        <v>3</v>
      </c>
      <c r="N45" s="32" t="s">
        <v>3</v>
      </c>
      <c r="O45" s="32" t="s">
        <v>3</v>
      </c>
      <c r="P45" s="32" t="s">
        <v>3</v>
      </c>
      <c r="Q45" s="32">
        <v>2284</v>
      </c>
      <c r="R45" s="32" t="s">
        <v>3</v>
      </c>
      <c r="S45" s="32" t="s">
        <v>3</v>
      </c>
      <c r="T45" s="32" t="s">
        <v>3</v>
      </c>
      <c r="U45" s="32" t="s">
        <v>3</v>
      </c>
      <c r="V45" s="28"/>
    </row>
    <row r="46" spans="1:25" x14ac:dyDescent="0.2">
      <c r="A46" s="61" t="s">
        <v>197</v>
      </c>
      <c r="B46" s="61" t="s">
        <v>198</v>
      </c>
      <c r="C46" s="61" t="s">
        <v>199</v>
      </c>
      <c r="D46" s="32">
        <v>2284.1999999999998</v>
      </c>
      <c r="E46" s="28"/>
      <c r="G46" s="25">
        <f>+A45-H45</f>
        <v>0</v>
      </c>
      <c r="H46" s="31">
        <v>879</v>
      </c>
      <c r="I46" s="37" t="s">
        <v>189</v>
      </c>
      <c r="J46" s="32">
        <v>1890.24</v>
      </c>
      <c r="K46" s="32">
        <v>315.04000000000002</v>
      </c>
      <c r="L46" s="32" t="s">
        <v>3</v>
      </c>
      <c r="M46" s="32" t="s">
        <v>3</v>
      </c>
      <c r="N46" s="32" t="s">
        <v>3</v>
      </c>
      <c r="O46" s="32" t="s">
        <v>3</v>
      </c>
      <c r="P46" s="32" t="s">
        <v>3</v>
      </c>
      <c r="Q46" s="32">
        <v>2284.1999999999998</v>
      </c>
      <c r="R46" s="32" t="s">
        <v>3</v>
      </c>
      <c r="S46" s="32" t="s">
        <v>3</v>
      </c>
      <c r="T46" s="32" t="s">
        <v>3</v>
      </c>
      <c r="U46" s="32" t="s">
        <v>3</v>
      </c>
      <c r="V46" s="24"/>
    </row>
    <row r="47" spans="1:25" x14ac:dyDescent="0.2">
      <c r="A47" s="61" t="s">
        <v>200</v>
      </c>
      <c r="B47" s="61" t="s">
        <v>201</v>
      </c>
      <c r="C47" s="61" t="s">
        <v>202</v>
      </c>
      <c r="D47" s="32">
        <v>1102.5999999999999</v>
      </c>
      <c r="E47" s="24"/>
      <c r="G47" s="25">
        <f>+A46-H46</f>
        <v>0</v>
      </c>
      <c r="H47" s="31">
        <v>883</v>
      </c>
      <c r="I47" s="37" t="s">
        <v>193</v>
      </c>
      <c r="J47" s="32">
        <v>945.12</v>
      </c>
      <c r="K47" s="32">
        <v>157.52000000000001</v>
      </c>
      <c r="L47" s="32" t="s">
        <v>3</v>
      </c>
      <c r="M47" s="32" t="s">
        <v>3</v>
      </c>
      <c r="N47" s="32" t="s">
        <v>3</v>
      </c>
      <c r="O47" s="32" t="s">
        <v>3</v>
      </c>
      <c r="P47" s="32" t="s">
        <v>3</v>
      </c>
      <c r="Q47" s="32">
        <v>1102.5999999999999</v>
      </c>
      <c r="R47" s="32" t="s">
        <v>3</v>
      </c>
      <c r="S47" s="32" t="s">
        <v>3</v>
      </c>
      <c r="T47" s="32" t="s">
        <v>3</v>
      </c>
      <c r="U47" s="32" t="s">
        <v>3</v>
      </c>
      <c r="V47" s="24"/>
    </row>
    <row r="48" spans="1:25" x14ac:dyDescent="0.2">
      <c r="A48" s="61" t="s">
        <v>210</v>
      </c>
      <c r="B48" s="61" t="s">
        <v>211</v>
      </c>
      <c r="C48" s="61" t="s">
        <v>212</v>
      </c>
      <c r="D48" s="32">
        <v>2284</v>
      </c>
      <c r="E48" s="24"/>
      <c r="G48" s="25">
        <f>+A47-H47</f>
        <v>0</v>
      </c>
      <c r="H48" s="31">
        <v>889</v>
      </c>
      <c r="I48" s="37" t="s">
        <v>194</v>
      </c>
      <c r="J48" s="32">
        <v>1890.24</v>
      </c>
      <c r="K48" s="32">
        <v>315.04000000000002</v>
      </c>
      <c r="L48" s="32" t="s">
        <v>3</v>
      </c>
      <c r="M48" s="32" t="s">
        <v>3</v>
      </c>
      <c r="N48" s="32" t="s">
        <v>3</v>
      </c>
      <c r="O48" s="32" t="s">
        <v>3</v>
      </c>
      <c r="P48" s="32" t="s">
        <v>3</v>
      </c>
      <c r="Q48" s="32">
        <v>2284</v>
      </c>
      <c r="R48" s="32" t="s">
        <v>3</v>
      </c>
      <c r="S48" s="32" t="s">
        <v>3</v>
      </c>
      <c r="T48" s="32" t="s">
        <v>3</v>
      </c>
      <c r="U48" s="32" t="s">
        <v>3</v>
      </c>
      <c r="V48" s="24"/>
    </row>
    <row r="49" spans="1:23" x14ac:dyDescent="0.2">
      <c r="A49" s="61" t="s">
        <v>213</v>
      </c>
      <c r="B49" s="61" t="s">
        <v>214</v>
      </c>
      <c r="C49" s="61" t="s">
        <v>215</v>
      </c>
      <c r="D49" s="32">
        <v>2284</v>
      </c>
      <c r="E49" s="24"/>
      <c r="G49" s="25">
        <f>+A48-H48</f>
        <v>0</v>
      </c>
      <c r="H49" s="31">
        <v>896</v>
      </c>
      <c r="I49" s="37" t="s">
        <v>203</v>
      </c>
      <c r="J49" s="32">
        <v>1890.24</v>
      </c>
      <c r="K49" s="32">
        <v>315.04000000000002</v>
      </c>
      <c r="L49" s="32" t="s">
        <v>3</v>
      </c>
      <c r="M49" s="32" t="s">
        <v>3</v>
      </c>
      <c r="N49" s="32" t="s">
        <v>3</v>
      </c>
      <c r="O49" s="32" t="s">
        <v>3</v>
      </c>
      <c r="P49" s="32" t="s">
        <v>3</v>
      </c>
      <c r="Q49" s="32">
        <v>2284</v>
      </c>
      <c r="R49" s="32" t="s">
        <v>3</v>
      </c>
      <c r="S49" s="32" t="s">
        <v>3</v>
      </c>
      <c r="T49" s="32" t="s">
        <v>3</v>
      </c>
      <c r="U49" s="32" t="s">
        <v>3</v>
      </c>
      <c r="V49" s="24"/>
    </row>
    <row r="50" spans="1:23" x14ac:dyDescent="0.2">
      <c r="A50" s="61" t="s">
        <v>216</v>
      </c>
      <c r="B50" s="61" t="s">
        <v>217</v>
      </c>
      <c r="C50" s="61" t="s">
        <v>218</v>
      </c>
      <c r="D50" s="32">
        <v>1548.8</v>
      </c>
      <c r="E50" s="24"/>
      <c r="G50" s="25">
        <f>+A49-H49</f>
        <v>0</v>
      </c>
      <c r="H50" s="31">
        <v>897</v>
      </c>
      <c r="I50" s="37" t="s">
        <v>204</v>
      </c>
      <c r="J50" s="32">
        <v>1260.1600000000001</v>
      </c>
      <c r="K50" s="32">
        <v>210.03</v>
      </c>
      <c r="L50" s="32" t="s">
        <v>3</v>
      </c>
      <c r="M50" s="32" t="s">
        <v>3</v>
      </c>
      <c r="N50" s="32" t="s">
        <v>3</v>
      </c>
      <c r="O50" s="32" t="s">
        <v>3</v>
      </c>
      <c r="P50" s="32" t="s">
        <v>3</v>
      </c>
      <c r="Q50" s="32">
        <v>1548.8</v>
      </c>
      <c r="R50" s="32" t="s">
        <v>3</v>
      </c>
      <c r="S50" s="32" t="s">
        <v>3</v>
      </c>
      <c r="T50" s="32" t="s">
        <v>3</v>
      </c>
      <c r="U50" s="32" t="s">
        <v>3</v>
      </c>
      <c r="V50" s="28"/>
    </row>
    <row r="51" spans="1:23" x14ac:dyDescent="0.2">
      <c r="A51" s="61" t="s">
        <v>244</v>
      </c>
      <c r="B51" s="61" t="s">
        <v>245</v>
      </c>
      <c r="C51" s="61" t="s">
        <v>246</v>
      </c>
      <c r="D51" s="32">
        <v>1102.5999999999999</v>
      </c>
      <c r="E51" s="28"/>
      <c r="G51" s="25">
        <f>+A50-H50</f>
        <v>0</v>
      </c>
      <c r="H51" s="31">
        <v>901</v>
      </c>
      <c r="I51" s="37" t="s">
        <v>205</v>
      </c>
      <c r="J51" s="32">
        <v>945.12</v>
      </c>
      <c r="K51" s="32">
        <v>157.52000000000001</v>
      </c>
      <c r="L51" s="32" t="s">
        <v>3</v>
      </c>
      <c r="M51" s="32" t="s">
        <v>3</v>
      </c>
      <c r="N51" s="32" t="s">
        <v>3</v>
      </c>
      <c r="O51" s="32" t="s">
        <v>3</v>
      </c>
      <c r="P51" s="32" t="s">
        <v>3</v>
      </c>
      <c r="Q51" s="32">
        <v>1102.5999999999999</v>
      </c>
      <c r="R51" s="32" t="s">
        <v>3</v>
      </c>
      <c r="S51" s="32" t="s">
        <v>3</v>
      </c>
      <c r="T51" s="32" t="s">
        <v>3</v>
      </c>
      <c r="U51" s="32" t="s">
        <v>3</v>
      </c>
      <c r="V51" s="28"/>
    </row>
    <row r="52" spans="1:23" x14ac:dyDescent="0.2">
      <c r="A52" s="61" t="s">
        <v>247</v>
      </c>
      <c r="B52" s="61" t="s">
        <v>248</v>
      </c>
      <c r="C52" s="61" t="s">
        <v>249</v>
      </c>
      <c r="D52" s="32">
        <v>2284</v>
      </c>
      <c r="E52" s="28"/>
      <c r="G52" s="25">
        <f>+A51-H51</f>
        <v>0</v>
      </c>
      <c r="H52" s="31">
        <v>902</v>
      </c>
      <c r="I52" s="37" t="s">
        <v>206</v>
      </c>
      <c r="J52" s="32">
        <v>1890.24</v>
      </c>
      <c r="K52" s="32">
        <v>315.04000000000002</v>
      </c>
      <c r="L52" s="32" t="s">
        <v>3</v>
      </c>
      <c r="M52" s="32" t="s">
        <v>3</v>
      </c>
      <c r="N52" s="32" t="s">
        <v>3</v>
      </c>
      <c r="O52" s="32" t="s">
        <v>3</v>
      </c>
      <c r="P52" s="32" t="s">
        <v>3</v>
      </c>
      <c r="Q52" s="32">
        <v>2284</v>
      </c>
      <c r="R52" s="32" t="s">
        <v>3</v>
      </c>
      <c r="S52" s="32" t="s">
        <v>3</v>
      </c>
      <c r="T52" s="32" t="s">
        <v>3</v>
      </c>
      <c r="U52" s="32" t="s">
        <v>3</v>
      </c>
      <c r="V52" s="24"/>
      <c r="W52" s="10"/>
    </row>
    <row r="53" spans="1:23" x14ac:dyDescent="0.2">
      <c r="A53" s="61" t="s">
        <v>250</v>
      </c>
      <c r="B53" s="61" t="s">
        <v>251</v>
      </c>
      <c r="C53" s="61" t="s">
        <v>252</v>
      </c>
      <c r="D53" s="32">
        <v>1548.8</v>
      </c>
      <c r="E53" s="24"/>
      <c r="G53" s="25">
        <f>+A52-H52</f>
        <v>0</v>
      </c>
      <c r="H53" s="31">
        <v>912</v>
      </c>
      <c r="I53" s="37" t="s">
        <v>222</v>
      </c>
      <c r="J53" s="32">
        <v>1260.1600000000001</v>
      </c>
      <c r="K53" s="32">
        <v>210.03</v>
      </c>
      <c r="L53" s="32" t="s">
        <v>3</v>
      </c>
      <c r="M53" s="32" t="s">
        <v>3</v>
      </c>
      <c r="N53" s="32" t="s">
        <v>3</v>
      </c>
      <c r="O53" s="32" t="s">
        <v>3</v>
      </c>
      <c r="P53" s="32" t="s">
        <v>3</v>
      </c>
      <c r="Q53" s="32">
        <v>1548.8</v>
      </c>
      <c r="R53" s="32" t="s">
        <v>3</v>
      </c>
      <c r="S53" s="32" t="s">
        <v>3</v>
      </c>
      <c r="T53" s="32" t="s">
        <v>3</v>
      </c>
      <c r="U53" s="32" t="s">
        <v>3</v>
      </c>
      <c r="V53" s="24"/>
      <c r="W53" s="10"/>
    </row>
    <row r="54" spans="1:23" x14ac:dyDescent="0.2">
      <c r="A54" s="61" t="s">
        <v>253</v>
      </c>
      <c r="B54" s="61" t="s">
        <v>254</v>
      </c>
      <c r="C54" s="61" t="s">
        <v>255</v>
      </c>
      <c r="D54" s="32">
        <v>2284</v>
      </c>
      <c r="E54" s="24"/>
      <c r="G54" s="25">
        <f>+A53-H53</f>
        <v>0</v>
      </c>
      <c r="H54" s="31">
        <v>913</v>
      </c>
      <c r="I54" s="37" t="s">
        <v>223</v>
      </c>
      <c r="J54" s="32">
        <v>1890.24</v>
      </c>
      <c r="K54" s="32">
        <v>315.04000000000002</v>
      </c>
      <c r="L54" s="32" t="s">
        <v>3</v>
      </c>
      <c r="M54" s="32" t="s">
        <v>3</v>
      </c>
      <c r="N54" s="32" t="s">
        <v>3</v>
      </c>
      <c r="O54" s="32" t="s">
        <v>3</v>
      </c>
      <c r="P54" s="32" t="s">
        <v>3</v>
      </c>
      <c r="Q54" s="32">
        <v>2284</v>
      </c>
      <c r="R54" s="32" t="s">
        <v>3</v>
      </c>
      <c r="S54" s="32" t="s">
        <v>3</v>
      </c>
      <c r="T54" s="32" t="s">
        <v>3</v>
      </c>
      <c r="U54" s="32" t="s">
        <v>3</v>
      </c>
      <c r="V54" s="24"/>
      <c r="W54" s="10"/>
    </row>
    <row r="55" spans="1:23" x14ac:dyDescent="0.2">
      <c r="A55" s="61" t="s">
        <v>256</v>
      </c>
      <c r="B55" s="61" t="s">
        <v>257</v>
      </c>
      <c r="C55" s="61" t="s">
        <v>258</v>
      </c>
      <c r="D55" s="32">
        <v>2284</v>
      </c>
      <c r="E55" s="24"/>
      <c r="G55" s="25">
        <f>+A54-H54</f>
        <v>0</v>
      </c>
      <c r="H55" s="31">
        <v>915</v>
      </c>
      <c r="I55" s="37" t="s">
        <v>225</v>
      </c>
      <c r="J55" s="32">
        <v>1890.24</v>
      </c>
      <c r="K55" s="32">
        <v>315.04000000000002</v>
      </c>
      <c r="L55" s="32" t="s">
        <v>3</v>
      </c>
      <c r="M55" s="32" t="s">
        <v>3</v>
      </c>
      <c r="N55" s="32" t="s">
        <v>3</v>
      </c>
      <c r="O55" s="32" t="s">
        <v>3</v>
      </c>
      <c r="P55" s="32" t="s">
        <v>3</v>
      </c>
      <c r="Q55" s="32">
        <v>2284</v>
      </c>
      <c r="R55" s="32" t="s">
        <v>3</v>
      </c>
      <c r="S55" s="32" t="s">
        <v>3</v>
      </c>
      <c r="T55" s="32" t="s">
        <v>3</v>
      </c>
      <c r="U55" s="32" t="s">
        <v>3</v>
      </c>
      <c r="V55" s="24"/>
      <c r="W55" s="10"/>
    </row>
    <row r="56" spans="1:23" x14ac:dyDescent="0.2">
      <c r="A56" s="61" t="s">
        <v>259</v>
      </c>
      <c r="B56" s="61" t="s">
        <v>260</v>
      </c>
      <c r="C56" s="61" t="s">
        <v>261</v>
      </c>
      <c r="D56" s="32">
        <v>2284.1999999999998</v>
      </c>
      <c r="E56" s="24"/>
      <c r="G56" s="25">
        <f>+A55-H55</f>
        <v>0</v>
      </c>
      <c r="H56" s="31">
        <v>918</v>
      </c>
      <c r="I56" s="37" t="s">
        <v>226</v>
      </c>
      <c r="J56" s="32">
        <v>1890.24</v>
      </c>
      <c r="K56" s="32">
        <v>315.04000000000002</v>
      </c>
      <c r="L56" s="32" t="s">
        <v>3</v>
      </c>
      <c r="M56" s="32" t="s">
        <v>3</v>
      </c>
      <c r="N56" s="32" t="s">
        <v>3</v>
      </c>
      <c r="O56" s="32" t="s">
        <v>3</v>
      </c>
      <c r="P56" s="32" t="s">
        <v>3</v>
      </c>
      <c r="Q56" s="32">
        <v>2284.1999999999998</v>
      </c>
      <c r="R56" s="32" t="s">
        <v>3</v>
      </c>
      <c r="S56" s="32" t="s">
        <v>3</v>
      </c>
      <c r="T56" s="32" t="s">
        <v>3</v>
      </c>
      <c r="U56" s="32" t="s">
        <v>3</v>
      </c>
      <c r="V56" s="24"/>
      <c r="W56" s="10"/>
    </row>
    <row r="57" spans="1:23" x14ac:dyDescent="0.25">
      <c r="D57" s="2">
        <f>SUM(D2:D56)</f>
        <v>117992.2</v>
      </c>
      <c r="E57" s="24"/>
      <c r="G57" s="25">
        <f>+A56-H56</f>
        <v>0</v>
      </c>
      <c r="S57" s="32" t="s">
        <v>3</v>
      </c>
      <c r="T57" s="32" t="s">
        <v>3</v>
      </c>
      <c r="U57" s="32" t="s">
        <v>3</v>
      </c>
      <c r="V57" s="28"/>
      <c r="W57" s="10"/>
    </row>
    <row r="58" spans="1:23" x14ac:dyDescent="0.2">
      <c r="S58" s="32" t="s">
        <v>3</v>
      </c>
      <c r="T58" s="32" t="s">
        <v>3</v>
      </c>
      <c r="U58" s="32" t="s">
        <v>3</v>
      </c>
      <c r="V58" s="24"/>
    </row>
    <row r="59" spans="1:23" x14ac:dyDescent="0.2">
      <c r="S59" s="32" t="s">
        <v>3</v>
      </c>
      <c r="T59" s="32" t="s">
        <v>3</v>
      </c>
      <c r="U59" s="32" t="s">
        <v>3</v>
      </c>
      <c r="V59" s="24"/>
    </row>
    <row r="60" spans="1:23" x14ac:dyDescent="0.2">
      <c r="S60" s="43" t="s">
        <v>3</v>
      </c>
      <c r="T60" s="43" t="s">
        <v>3</v>
      </c>
      <c r="U60" s="43" t="s">
        <v>3</v>
      </c>
      <c r="V60" s="28"/>
    </row>
    <row r="64" spans="1:23" x14ac:dyDescent="0.2">
      <c r="H64" s="31">
        <v>343</v>
      </c>
      <c r="I64" s="37" t="s">
        <v>228</v>
      </c>
      <c r="J64" s="32">
        <v>1890.24</v>
      </c>
      <c r="K64" s="32">
        <v>315.04000000000002</v>
      </c>
      <c r="L64" s="32" t="s">
        <v>3</v>
      </c>
      <c r="M64" s="32" t="s">
        <v>3</v>
      </c>
      <c r="N64" s="32">
        <v>223.22</v>
      </c>
      <c r="O64" s="32" t="s">
        <v>3</v>
      </c>
      <c r="P64" s="32" t="s">
        <v>3</v>
      </c>
      <c r="Q64" s="32">
        <v>2060.8000000000002</v>
      </c>
      <c r="R64" s="32" t="s">
        <v>3</v>
      </c>
      <c r="S64" s="32" t="s">
        <v>3</v>
      </c>
      <c r="T64" s="32" t="s">
        <v>3</v>
      </c>
      <c r="U64" s="32" t="s">
        <v>3</v>
      </c>
      <c r="V64" s="47"/>
    </row>
    <row r="65" spans="8:22" x14ac:dyDescent="0.2">
      <c r="H65" s="31">
        <v>646</v>
      </c>
      <c r="I65" s="37" t="s">
        <v>35</v>
      </c>
      <c r="J65" s="32">
        <v>1890.24</v>
      </c>
      <c r="K65" s="32">
        <v>315.04000000000002</v>
      </c>
      <c r="L65" s="32" t="s">
        <v>3</v>
      </c>
      <c r="M65" s="32" t="s">
        <v>3</v>
      </c>
      <c r="N65" s="32" t="s">
        <v>3</v>
      </c>
      <c r="O65" s="32" t="s">
        <v>3</v>
      </c>
      <c r="P65" s="32" t="s">
        <v>3</v>
      </c>
      <c r="Q65" s="32">
        <v>2284</v>
      </c>
      <c r="R65" s="32" t="s">
        <v>3</v>
      </c>
      <c r="S65" s="32" t="s">
        <v>3</v>
      </c>
      <c r="T65" s="32" t="s">
        <v>3</v>
      </c>
      <c r="U65" s="32" t="s">
        <v>3</v>
      </c>
      <c r="V65" s="24"/>
    </row>
    <row r="66" spans="8:22" x14ac:dyDescent="0.2">
      <c r="H66" s="31">
        <v>808</v>
      </c>
      <c r="I66" s="37" t="s">
        <v>229</v>
      </c>
      <c r="J66" s="32">
        <v>1890.24</v>
      </c>
      <c r="K66" s="32">
        <v>315.04000000000002</v>
      </c>
      <c r="L66" s="32" t="s">
        <v>3</v>
      </c>
      <c r="M66" s="32" t="s">
        <v>3</v>
      </c>
      <c r="N66" s="32" t="s">
        <v>3</v>
      </c>
      <c r="O66" s="32" t="s">
        <v>3</v>
      </c>
      <c r="P66" s="32" t="s">
        <v>3</v>
      </c>
      <c r="Q66" s="32">
        <v>2284</v>
      </c>
      <c r="R66" s="32" t="s">
        <v>3</v>
      </c>
      <c r="S66" s="32" t="s">
        <v>3</v>
      </c>
      <c r="T66" s="32" t="s">
        <v>3</v>
      </c>
      <c r="U66" s="32" t="s">
        <v>3</v>
      </c>
      <c r="V66" s="24"/>
    </row>
    <row r="67" spans="8:22" x14ac:dyDescent="0.2">
      <c r="H67" s="31">
        <v>905</v>
      </c>
      <c r="I67" s="37" t="s">
        <v>207</v>
      </c>
      <c r="J67" s="32">
        <v>1890.24</v>
      </c>
      <c r="K67" s="32">
        <v>315.04000000000002</v>
      </c>
      <c r="L67" s="32" t="s">
        <v>3</v>
      </c>
      <c r="M67" s="32" t="s">
        <v>3</v>
      </c>
      <c r="N67" s="32" t="s">
        <v>3</v>
      </c>
      <c r="O67" s="32" t="s">
        <v>3</v>
      </c>
      <c r="P67" s="32" t="s">
        <v>3</v>
      </c>
      <c r="Q67" s="32">
        <v>2284</v>
      </c>
      <c r="R67" s="32" t="s">
        <v>3</v>
      </c>
      <c r="S67" s="32" t="s">
        <v>3</v>
      </c>
      <c r="T67" s="32" t="s">
        <v>3</v>
      </c>
      <c r="U67" s="32" t="s">
        <v>3</v>
      </c>
      <c r="V67" s="24"/>
    </row>
    <row r="68" spans="8:22" x14ac:dyDescent="0.2">
      <c r="H68" s="31">
        <v>906</v>
      </c>
      <c r="I68" s="37" t="s">
        <v>208</v>
      </c>
      <c r="J68" s="32">
        <v>1890.24</v>
      </c>
      <c r="K68" s="32">
        <v>315.04000000000002</v>
      </c>
      <c r="L68" s="32" t="s">
        <v>3</v>
      </c>
      <c r="M68" s="32" t="s">
        <v>3</v>
      </c>
      <c r="N68" s="32" t="s">
        <v>3</v>
      </c>
      <c r="O68" s="32" t="s">
        <v>3</v>
      </c>
      <c r="P68" s="32" t="s">
        <v>3</v>
      </c>
      <c r="Q68" s="32">
        <v>2284.1999999999998</v>
      </c>
      <c r="R68" s="32" t="s">
        <v>3</v>
      </c>
      <c r="S68" s="32" t="s">
        <v>3</v>
      </c>
      <c r="T68" s="32" t="s">
        <v>3</v>
      </c>
      <c r="U68" s="32" t="s">
        <v>3</v>
      </c>
      <c r="V68" s="28"/>
    </row>
    <row r="69" spans="8:22" x14ac:dyDescent="0.2">
      <c r="H69" s="31">
        <v>911</v>
      </c>
      <c r="I69" s="37" t="s">
        <v>221</v>
      </c>
      <c r="J69" s="32">
        <v>1890.24</v>
      </c>
      <c r="K69" s="32">
        <v>315.04000000000002</v>
      </c>
      <c r="L69" s="32" t="s">
        <v>3</v>
      </c>
      <c r="M69" s="32" t="s">
        <v>3</v>
      </c>
      <c r="N69" s="32" t="s">
        <v>3</v>
      </c>
      <c r="O69" s="32" t="s">
        <v>3</v>
      </c>
      <c r="P69" s="32" t="s">
        <v>3</v>
      </c>
      <c r="Q69" s="32">
        <v>2284.1999999999998</v>
      </c>
      <c r="R69" s="32" t="s">
        <v>3</v>
      </c>
      <c r="S69" s="32" t="s">
        <v>3</v>
      </c>
      <c r="T69" s="32" t="s">
        <v>3</v>
      </c>
      <c r="U69" s="32" t="s">
        <v>3</v>
      </c>
      <c r="V69" s="24"/>
    </row>
    <row r="70" spans="8:22" x14ac:dyDescent="0.2">
      <c r="H70" s="31">
        <v>914</v>
      </c>
      <c r="I70" s="37" t="s">
        <v>224</v>
      </c>
      <c r="J70" s="32">
        <v>945.12</v>
      </c>
      <c r="K70" s="32">
        <v>157.52000000000001</v>
      </c>
      <c r="L70" s="32" t="s">
        <v>3</v>
      </c>
      <c r="M70" s="32" t="s">
        <v>3</v>
      </c>
      <c r="N70" s="32" t="s">
        <v>3</v>
      </c>
      <c r="O70" s="32" t="s">
        <v>3</v>
      </c>
      <c r="P70" s="32" t="s">
        <v>3</v>
      </c>
      <c r="Q70" s="32">
        <v>1181.4000000000001</v>
      </c>
      <c r="R70" s="32" t="s">
        <v>3</v>
      </c>
      <c r="S70" s="32" t="s">
        <v>3</v>
      </c>
      <c r="T70" s="32" t="s">
        <v>3</v>
      </c>
      <c r="U70" s="32" t="s">
        <v>3</v>
      </c>
      <c r="V70" s="24"/>
    </row>
    <row r="71" spans="8:22" x14ac:dyDescent="0.2">
      <c r="H71" s="31">
        <v>919</v>
      </c>
      <c r="I71" s="37" t="s">
        <v>227</v>
      </c>
      <c r="J71" s="32">
        <v>1890.24</v>
      </c>
      <c r="K71" s="32">
        <v>315.04000000000002</v>
      </c>
      <c r="L71" s="32" t="s">
        <v>3</v>
      </c>
      <c r="M71" s="32" t="s">
        <v>3</v>
      </c>
      <c r="N71" s="32" t="s">
        <v>3</v>
      </c>
      <c r="O71" s="32" t="s">
        <v>3</v>
      </c>
      <c r="P71" s="32" t="s">
        <v>3</v>
      </c>
      <c r="Q71" s="32">
        <v>2284.1999999999998</v>
      </c>
      <c r="R71" s="32" t="s">
        <v>3</v>
      </c>
    </row>
    <row r="72" spans="8:22" x14ac:dyDescent="0.2">
      <c r="H72" s="31">
        <v>923</v>
      </c>
      <c r="I72" s="37" t="s">
        <v>231</v>
      </c>
      <c r="J72" s="32">
        <v>1890.24</v>
      </c>
      <c r="K72" s="32">
        <v>315.04000000000002</v>
      </c>
      <c r="L72" s="32" t="s">
        <v>3</v>
      </c>
      <c r="M72" s="32" t="s">
        <v>3</v>
      </c>
      <c r="N72" s="32" t="s">
        <v>3</v>
      </c>
      <c r="O72" s="32" t="s">
        <v>3</v>
      </c>
      <c r="P72" s="32" t="s">
        <v>3</v>
      </c>
      <c r="Q72" s="32">
        <v>2284.1999999999998</v>
      </c>
      <c r="R72" s="32" t="s">
        <v>3</v>
      </c>
    </row>
    <row r="73" spans="8:22" x14ac:dyDescent="0.2">
      <c r="H73" s="31">
        <v>924</v>
      </c>
      <c r="I73" s="37" t="s">
        <v>232</v>
      </c>
      <c r="J73" s="32">
        <v>1890.24</v>
      </c>
      <c r="K73" s="32">
        <v>315.04000000000002</v>
      </c>
      <c r="L73" s="32" t="s">
        <v>3</v>
      </c>
      <c r="M73" s="32" t="s">
        <v>3</v>
      </c>
      <c r="N73" s="32" t="s">
        <v>3</v>
      </c>
      <c r="O73" s="32" t="s">
        <v>3</v>
      </c>
      <c r="P73" s="32" t="s">
        <v>3</v>
      </c>
      <c r="Q73" s="32">
        <v>2284.1999999999998</v>
      </c>
      <c r="R73" s="32" t="s">
        <v>3</v>
      </c>
    </row>
    <row r="74" spans="8:22" x14ac:dyDescent="0.2">
      <c r="H74" s="31">
        <v>925</v>
      </c>
      <c r="I74" s="42" t="s">
        <v>263</v>
      </c>
      <c r="J74" s="43">
        <v>945.12</v>
      </c>
      <c r="K74" s="43">
        <v>157.52000000000001</v>
      </c>
      <c r="L74" s="43" t="s">
        <v>3</v>
      </c>
      <c r="M74" s="43" t="s">
        <v>3</v>
      </c>
      <c r="N74" s="43" t="s">
        <v>3</v>
      </c>
      <c r="O74" s="43" t="s">
        <v>3</v>
      </c>
      <c r="P74" s="43" t="s">
        <v>3</v>
      </c>
      <c r="Q74" s="43">
        <v>1181.4000000000001</v>
      </c>
      <c r="R74" s="43" t="s">
        <v>3</v>
      </c>
    </row>
    <row r="75" spans="8:22" x14ac:dyDescent="0.2">
      <c r="H75" s="31">
        <v>727</v>
      </c>
      <c r="I75" s="37" t="s">
        <v>41</v>
      </c>
      <c r="J75" s="32">
        <v>1890.24</v>
      </c>
      <c r="K75" s="32">
        <v>315.04000000000002</v>
      </c>
      <c r="L75" s="32" t="s">
        <v>3</v>
      </c>
      <c r="M75" s="32" t="s">
        <v>3</v>
      </c>
      <c r="N75" s="32" t="s">
        <v>3</v>
      </c>
      <c r="O75" s="32" t="s">
        <v>3</v>
      </c>
      <c r="P75" s="32" t="s">
        <v>3</v>
      </c>
      <c r="Q75" s="32">
        <v>2284</v>
      </c>
      <c r="R75" s="32" t="s">
        <v>3</v>
      </c>
      <c r="S75" s="32" t="s">
        <v>3</v>
      </c>
      <c r="T75" s="32" t="s">
        <v>3</v>
      </c>
      <c r="U75" s="32" t="s">
        <v>3</v>
      </c>
      <c r="V75" s="24"/>
    </row>
  </sheetData>
  <conditionalFormatting sqref="A48:A1048576">
    <cfRule type="duplicateValues" dxfId="0" priority="19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9"/>
  <sheetViews>
    <sheetView zoomScale="84" zoomScaleNormal="84" workbookViewId="0">
      <pane ySplit="4" topLeftCell="A5" activePane="bottomLeft" state="frozen"/>
      <selection pane="bottomLeft" activeCell="J17" sqref="J17"/>
    </sheetView>
  </sheetViews>
  <sheetFormatPr baseColWidth="10" defaultRowHeight="12" x14ac:dyDescent="0.2"/>
  <cols>
    <col min="1" max="1" width="6.85546875" style="12" customWidth="1"/>
    <col min="2" max="2" width="43" style="12" customWidth="1"/>
    <col min="3" max="4" width="13.28515625" style="12" customWidth="1"/>
    <col min="5" max="5" width="13.7109375" style="12" customWidth="1"/>
    <col min="6" max="6" width="15.5703125" style="12" customWidth="1"/>
    <col min="7" max="8" width="11.7109375" style="12" bestFit="1" customWidth="1"/>
    <col min="9" max="9" width="13.42578125" style="12" customWidth="1"/>
    <col min="10" max="10" width="12" style="12" bestFit="1" customWidth="1"/>
    <col min="11" max="11" width="13.5703125" style="12" customWidth="1"/>
    <col min="12" max="12" width="12" style="12" bestFit="1" customWidth="1"/>
    <col min="13" max="13" width="12" style="12" customWidth="1"/>
    <col min="14" max="14" width="14.85546875" style="12" customWidth="1"/>
    <col min="15" max="15" width="28.42578125" style="29" customWidth="1"/>
    <col min="16" max="16384" width="11.42578125" style="12"/>
  </cols>
  <sheetData>
    <row r="1" spans="1:17" x14ac:dyDescent="0.2">
      <c r="A1" s="11" t="s">
        <v>0</v>
      </c>
    </row>
    <row r="2" spans="1:17" ht="23.25" x14ac:dyDescent="0.2">
      <c r="A2" s="13" t="s">
        <v>1</v>
      </c>
      <c r="F2" s="15" t="s">
        <v>2</v>
      </c>
    </row>
    <row r="3" spans="1:17" ht="18" x14ac:dyDescent="0.2">
      <c r="A3" s="14" t="s">
        <v>3</v>
      </c>
      <c r="F3" s="16" t="s">
        <v>4</v>
      </c>
    </row>
    <row r="4" spans="1:17" ht="20.25" x14ac:dyDescent="0.2">
      <c r="A4" s="14"/>
      <c r="F4" s="30" t="s">
        <v>262</v>
      </c>
    </row>
    <row r="5" spans="1:17" ht="62.25" customHeight="1" x14ac:dyDescent="0.2">
      <c r="A5" s="33" t="s">
        <v>5</v>
      </c>
      <c r="B5" s="33" t="s">
        <v>6</v>
      </c>
      <c r="C5" s="34" t="s">
        <v>7</v>
      </c>
      <c r="D5" s="34" t="s">
        <v>8</v>
      </c>
      <c r="E5" s="34" t="s">
        <v>196</v>
      </c>
      <c r="F5" s="34" t="s">
        <v>9</v>
      </c>
      <c r="G5" s="34" t="s">
        <v>10</v>
      </c>
      <c r="H5" s="34" t="s">
        <v>12</v>
      </c>
      <c r="I5" s="34" t="s">
        <v>11</v>
      </c>
      <c r="J5" s="34" t="s">
        <v>13</v>
      </c>
      <c r="K5" s="34" t="s">
        <v>90</v>
      </c>
      <c r="L5" s="34" t="s">
        <v>91</v>
      </c>
      <c r="M5" s="35" t="s">
        <v>176</v>
      </c>
      <c r="N5" s="35" t="s">
        <v>195</v>
      </c>
      <c r="O5" s="34" t="s">
        <v>183</v>
      </c>
    </row>
    <row r="6" spans="1:17" ht="15.75" x14ac:dyDescent="0.2">
      <c r="A6" s="31">
        <v>343</v>
      </c>
      <c r="B6" s="37" t="s">
        <v>228</v>
      </c>
      <c r="C6" s="32">
        <v>1890.24</v>
      </c>
      <c r="D6" s="32">
        <v>315.04000000000002</v>
      </c>
      <c r="E6" s="32" t="s">
        <v>3</v>
      </c>
      <c r="F6" s="32" t="s">
        <v>3</v>
      </c>
      <c r="G6" s="32">
        <v>223.22</v>
      </c>
      <c r="H6" s="32" t="s">
        <v>3</v>
      </c>
      <c r="I6" s="32" t="s">
        <v>3</v>
      </c>
      <c r="J6" s="32">
        <v>2060.8000000000002</v>
      </c>
      <c r="K6" s="32" t="s">
        <v>3</v>
      </c>
      <c r="L6" s="32" t="s">
        <v>3</v>
      </c>
      <c r="M6" s="32" t="s">
        <v>3</v>
      </c>
      <c r="N6" s="32" t="s">
        <v>3</v>
      </c>
      <c r="O6" s="47"/>
      <c r="P6" s="1"/>
      <c r="Q6" s="1"/>
    </row>
    <row r="7" spans="1:17" ht="15.75" x14ac:dyDescent="0.2">
      <c r="A7" s="31">
        <v>646</v>
      </c>
      <c r="B7" s="37" t="s">
        <v>35</v>
      </c>
      <c r="C7" s="32">
        <v>1890.24</v>
      </c>
      <c r="D7" s="32">
        <v>315.04000000000002</v>
      </c>
      <c r="E7" s="32" t="s">
        <v>3</v>
      </c>
      <c r="F7" s="32" t="s">
        <v>3</v>
      </c>
      <c r="G7" s="32" t="s">
        <v>3</v>
      </c>
      <c r="H7" s="32" t="s">
        <v>3</v>
      </c>
      <c r="I7" s="32" t="s">
        <v>3</v>
      </c>
      <c r="J7" s="32">
        <v>2284</v>
      </c>
      <c r="K7" s="32" t="s">
        <v>3</v>
      </c>
      <c r="L7" s="32" t="s">
        <v>3</v>
      </c>
      <c r="M7" s="32" t="s">
        <v>3</v>
      </c>
      <c r="N7" s="32" t="s">
        <v>3</v>
      </c>
      <c r="O7" s="24"/>
      <c r="P7" s="1"/>
      <c r="Q7" s="1"/>
    </row>
    <row r="8" spans="1:17" ht="15.75" x14ac:dyDescent="0.2">
      <c r="A8" s="31">
        <v>808</v>
      </c>
      <c r="B8" s="37" t="s">
        <v>229</v>
      </c>
      <c r="C8" s="32">
        <v>1890.24</v>
      </c>
      <c r="D8" s="32">
        <v>315.04000000000002</v>
      </c>
      <c r="E8" s="32" t="s">
        <v>3</v>
      </c>
      <c r="F8" s="32" t="s">
        <v>3</v>
      </c>
      <c r="G8" s="32" t="s">
        <v>3</v>
      </c>
      <c r="H8" s="32" t="s">
        <v>3</v>
      </c>
      <c r="I8" s="32" t="s">
        <v>3</v>
      </c>
      <c r="J8" s="32">
        <v>2284</v>
      </c>
      <c r="K8" s="32" t="s">
        <v>3</v>
      </c>
      <c r="L8" s="32" t="s">
        <v>3</v>
      </c>
      <c r="M8" s="32" t="s">
        <v>3</v>
      </c>
      <c r="N8" s="32" t="s">
        <v>3</v>
      </c>
      <c r="O8" s="24"/>
      <c r="P8" s="1"/>
      <c r="Q8" s="1"/>
    </row>
    <row r="9" spans="1:17" ht="15.75" x14ac:dyDescent="0.2">
      <c r="A9" s="31">
        <v>905</v>
      </c>
      <c r="B9" s="37" t="s">
        <v>207</v>
      </c>
      <c r="C9" s="32">
        <v>1890.24</v>
      </c>
      <c r="D9" s="32">
        <v>315.04000000000002</v>
      </c>
      <c r="E9" s="32" t="s">
        <v>3</v>
      </c>
      <c r="F9" s="32" t="s">
        <v>3</v>
      </c>
      <c r="G9" s="32" t="s">
        <v>3</v>
      </c>
      <c r="H9" s="32" t="s">
        <v>3</v>
      </c>
      <c r="I9" s="32" t="s">
        <v>3</v>
      </c>
      <c r="J9" s="32">
        <v>2284</v>
      </c>
      <c r="K9" s="32" t="s">
        <v>3</v>
      </c>
      <c r="L9" s="32" t="s">
        <v>3</v>
      </c>
      <c r="M9" s="32" t="s">
        <v>3</v>
      </c>
      <c r="N9" s="32" t="s">
        <v>3</v>
      </c>
      <c r="O9" s="24"/>
      <c r="P9" s="1"/>
      <c r="Q9" s="1"/>
    </row>
    <row r="10" spans="1:17" ht="15.75" x14ac:dyDescent="0.2">
      <c r="A10" s="31">
        <v>906</v>
      </c>
      <c r="B10" s="37" t="s">
        <v>208</v>
      </c>
      <c r="C10" s="32">
        <v>1890.24</v>
      </c>
      <c r="D10" s="32">
        <v>315.04000000000002</v>
      </c>
      <c r="E10" s="32" t="s">
        <v>3</v>
      </c>
      <c r="F10" s="32" t="s">
        <v>3</v>
      </c>
      <c r="G10" s="32" t="s">
        <v>3</v>
      </c>
      <c r="H10" s="32" t="s">
        <v>3</v>
      </c>
      <c r="I10" s="32" t="s">
        <v>3</v>
      </c>
      <c r="J10" s="32">
        <v>2284.1999999999998</v>
      </c>
      <c r="K10" s="32" t="s">
        <v>3</v>
      </c>
      <c r="L10" s="32" t="s">
        <v>3</v>
      </c>
      <c r="M10" s="32" t="s">
        <v>3</v>
      </c>
      <c r="N10" s="32" t="s">
        <v>3</v>
      </c>
      <c r="O10" s="28"/>
      <c r="P10" s="1"/>
      <c r="Q10" s="1"/>
    </row>
    <row r="11" spans="1:17" ht="15.75" x14ac:dyDescent="0.2">
      <c r="A11" s="31">
        <v>911</v>
      </c>
      <c r="B11" s="37" t="s">
        <v>221</v>
      </c>
      <c r="C11" s="32">
        <v>1890.24</v>
      </c>
      <c r="D11" s="32">
        <v>315.04000000000002</v>
      </c>
      <c r="E11" s="32" t="s">
        <v>3</v>
      </c>
      <c r="F11" s="32" t="s">
        <v>3</v>
      </c>
      <c r="G11" s="32" t="s">
        <v>3</v>
      </c>
      <c r="H11" s="32" t="s">
        <v>3</v>
      </c>
      <c r="I11" s="32" t="s">
        <v>3</v>
      </c>
      <c r="J11" s="32">
        <v>2284.1999999999998</v>
      </c>
      <c r="K11" s="32" t="s">
        <v>3</v>
      </c>
      <c r="L11" s="32" t="s">
        <v>3</v>
      </c>
      <c r="M11" s="32" t="s">
        <v>3</v>
      </c>
      <c r="N11" s="32" t="s">
        <v>3</v>
      </c>
      <c r="O11" s="24"/>
      <c r="P11" s="1"/>
      <c r="Q11" s="1"/>
    </row>
    <row r="12" spans="1:17" ht="15.75" x14ac:dyDescent="0.2">
      <c r="A12" s="31">
        <v>914</v>
      </c>
      <c r="B12" s="37" t="s">
        <v>224</v>
      </c>
      <c r="C12" s="32">
        <v>945.12</v>
      </c>
      <c r="D12" s="32">
        <v>157.52000000000001</v>
      </c>
      <c r="E12" s="32" t="s">
        <v>3</v>
      </c>
      <c r="F12" s="32" t="s">
        <v>3</v>
      </c>
      <c r="G12" s="32" t="s">
        <v>3</v>
      </c>
      <c r="H12" s="32" t="s">
        <v>3</v>
      </c>
      <c r="I12" s="32" t="s">
        <v>3</v>
      </c>
      <c r="J12" s="32">
        <v>1181.4000000000001</v>
      </c>
      <c r="K12" s="32" t="s">
        <v>3</v>
      </c>
      <c r="L12" s="32" t="s">
        <v>3</v>
      </c>
      <c r="M12" s="32" t="s">
        <v>3</v>
      </c>
      <c r="N12" s="32" t="s">
        <v>3</v>
      </c>
      <c r="O12" s="24"/>
      <c r="P12" s="1"/>
      <c r="Q12" s="1"/>
    </row>
    <row r="13" spans="1:17" ht="15.75" x14ac:dyDescent="0.2">
      <c r="A13" s="31">
        <v>919</v>
      </c>
      <c r="B13" s="37" t="s">
        <v>227</v>
      </c>
      <c r="C13" s="32">
        <v>1890.24</v>
      </c>
      <c r="D13" s="32">
        <v>315.04000000000002</v>
      </c>
      <c r="E13" s="32" t="s">
        <v>3</v>
      </c>
      <c r="F13" s="32" t="s">
        <v>3</v>
      </c>
      <c r="G13" s="32" t="s">
        <v>3</v>
      </c>
      <c r="H13" s="32" t="s">
        <v>3</v>
      </c>
      <c r="I13" s="32" t="s">
        <v>3</v>
      </c>
      <c r="J13" s="32">
        <v>2284.1999999999998</v>
      </c>
      <c r="K13" s="32" t="s">
        <v>3</v>
      </c>
      <c r="L13" s="32" t="s">
        <v>3</v>
      </c>
      <c r="M13" s="32" t="s">
        <v>3</v>
      </c>
      <c r="N13" s="32" t="s">
        <v>3</v>
      </c>
      <c r="O13" s="28"/>
      <c r="P13" s="1"/>
      <c r="Q13" s="1"/>
    </row>
    <row r="14" spans="1:17" ht="15.75" x14ac:dyDescent="0.2">
      <c r="A14" s="31">
        <v>923</v>
      </c>
      <c r="B14" s="37" t="s">
        <v>231</v>
      </c>
      <c r="C14" s="32">
        <v>1890.24</v>
      </c>
      <c r="D14" s="32">
        <v>315.04000000000002</v>
      </c>
      <c r="E14" s="32" t="s">
        <v>3</v>
      </c>
      <c r="F14" s="32" t="s">
        <v>3</v>
      </c>
      <c r="G14" s="32" t="s">
        <v>3</v>
      </c>
      <c r="H14" s="32" t="s">
        <v>3</v>
      </c>
      <c r="I14" s="32" t="s">
        <v>3</v>
      </c>
      <c r="J14" s="32">
        <v>2284.1999999999998</v>
      </c>
      <c r="K14" s="32" t="s">
        <v>3</v>
      </c>
      <c r="L14" s="32" t="s">
        <v>3</v>
      </c>
      <c r="M14" s="32" t="s">
        <v>3</v>
      </c>
      <c r="N14" s="32" t="s">
        <v>3</v>
      </c>
      <c r="O14" s="24"/>
      <c r="P14" s="1"/>
      <c r="Q14" s="1"/>
    </row>
    <row r="15" spans="1:17" ht="15.75" x14ac:dyDescent="0.2">
      <c r="A15" s="31">
        <v>924</v>
      </c>
      <c r="B15" s="37" t="s">
        <v>232</v>
      </c>
      <c r="C15" s="32">
        <v>1890.24</v>
      </c>
      <c r="D15" s="32">
        <v>315.04000000000002</v>
      </c>
      <c r="E15" s="32" t="s">
        <v>3</v>
      </c>
      <c r="F15" s="32" t="s">
        <v>3</v>
      </c>
      <c r="G15" s="32" t="s">
        <v>3</v>
      </c>
      <c r="H15" s="32" t="s">
        <v>3</v>
      </c>
      <c r="I15" s="32" t="s">
        <v>3</v>
      </c>
      <c r="J15" s="32">
        <v>2284.1999999999998</v>
      </c>
      <c r="K15" s="32"/>
      <c r="L15" s="32"/>
      <c r="M15" s="32"/>
      <c r="N15" s="32"/>
      <c r="O15" s="24"/>
      <c r="P15" s="1"/>
      <c r="Q15" s="1"/>
    </row>
    <row r="16" spans="1:17" ht="15.75" x14ac:dyDescent="0.2">
      <c r="A16" s="31">
        <v>925</v>
      </c>
      <c r="B16" s="42" t="s">
        <v>263</v>
      </c>
      <c r="C16" s="43">
        <v>945.12</v>
      </c>
      <c r="D16" s="43">
        <v>157.52000000000001</v>
      </c>
      <c r="E16" s="43" t="s">
        <v>3</v>
      </c>
      <c r="F16" s="43" t="s">
        <v>3</v>
      </c>
      <c r="G16" s="43" t="s">
        <v>3</v>
      </c>
      <c r="H16" s="43" t="s">
        <v>3</v>
      </c>
      <c r="I16" s="43" t="s">
        <v>3</v>
      </c>
      <c r="J16" s="43">
        <v>1181.4000000000001</v>
      </c>
      <c r="K16" s="32"/>
      <c r="L16" s="32"/>
      <c r="M16" s="32"/>
      <c r="N16" s="32"/>
      <c r="O16" s="24"/>
      <c r="P16" s="1"/>
      <c r="Q16" s="1"/>
    </row>
    <row r="17" spans="1:17" ht="18" customHeight="1" x14ac:dyDescent="0.2">
      <c r="A17" s="31">
        <v>727</v>
      </c>
      <c r="B17" s="37" t="s">
        <v>41</v>
      </c>
      <c r="C17" s="32">
        <v>1890.24</v>
      </c>
      <c r="D17" s="32">
        <v>315.04000000000002</v>
      </c>
      <c r="E17" s="32" t="s">
        <v>3</v>
      </c>
      <c r="F17" s="32" t="s">
        <v>3</v>
      </c>
      <c r="G17" s="32" t="s">
        <v>3</v>
      </c>
      <c r="H17" s="32" t="s">
        <v>3</v>
      </c>
      <c r="I17" s="32" t="s">
        <v>3</v>
      </c>
      <c r="J17" s="32">
        <v>2284</v>
      </c>
      <c r="K17" s="32"/>
      <c r="L17" s="32"/>
      <c r="M17" s="32"/>
      <c r="N17" s="32"/>
      <c r="O17" s="24"/>
      <c r="P17" s="1"/>
      <c r="Q17" s="1"/>
    </row>
    <row r="18" spans="1:17" ht="16.5" thickBot="1" x14ac:dyDescent="0.3">
      <c r="B18" s="18" t="s">
        <v>42</v>
      </c>
      <c r="C18" s="19">
        <f t="shared" ref="C18:N18" si="0">SUM(C6:C17)</f>
        <v>20792.640000000003</v>
      </c>
      <c r="D18" s="19">
        <f t="shared" si="0"/>
        <v>3465.44</v>
      </c>
      <c r="E18" s="19">
        <f t="shared" si="0"/>
        <v>0</v>
      </c>
      <c r="F18" s="19">
        <f t="shared" si="0"/>
        <v>0</v>
      </c>
      <c r="G18" s="19">
        <f t="shared" si="0"/>
        <v>223.22</v>
      </c>
      <c r="H18" s="19">
        <f t="shared" si="0"/>
        <v>0</v>
      </c>
      <c r="I18" s="19">
        <f t="shared" si="0"/>
        <v>0</v>
      </c>
      <c r="J18" s="19">
        <f>SUM(J6:J17)</f>
        <v>24980.600000000002</v>
      </c>
      <c r="K18" s="19">
        <f t="shared" si="0"/>
        <v>0</v>
      </c>
      <c r="L18" s="19">
        <f t="shared" si="0"/>
        <v>0</v>
      </c>
      <c r="M18" s="19">
        <f t="shared" si="0"/>
        <v>0</v>
      </c>
      <c r="N18" s="19">
        <f t="shared" si="0"/>
        <v>0</v>
      </c>
    </row>
    <row r="19" spans="1:17" ht="12.75" thickTop="1" x14ac:dyDescent="0.2"/>
  </sheetData>
  <pageMargins left="0.75" right="0.75" top="1" bottom="1" header="0.5" footer="0.5"/>
  <pageSetup scale="66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4739-EAFF-49CA-9154-1D6D7D387BCF}">
  <sheetPr>
    <pageSetUpPr fitToPage="1"/>
  </sheetPr>
  <dimension ref="A1:S11"/>
  <sheetViews>
    <sheetView zoomScale="70" zoomScaleNormal="70" workbookViewId="0">
      <pane ySplit="4" topLeftCell="A5" activePane="bottomLeft" state="frozen"/>
      <selection pane="bottomLeft" activeCell="N32" sqref="N32"/>
    </sheetView>
  </sheetViews>
  <sheetFormatPr baseColWidth="10" defaultRowHeight="12" x14ac:dyDescent="0.2"/>
  <cols>
    <col min="1" max="1" width="6.85546875" style="12" customWidth="1"/>
    <col min="2" max="2" width="77.42578125" style="12" customWidth="1"/>
    <col min="3" max="4" width="13.28515625" style="12" customWidth="1"/>
    <col min="5" max="5" width="13.7109375" style="12" customWidth="1"/>
    <col min="6" max="6" width="15.5703125" style="12" customWidth="1"/>
    <col min="7" max="8" width="11.7109375" style="12" bestFit="1" customWidth="1"/>
    <col min="9" max="9" width="13.42578125" style="12" customWidth="1"/>
    <col min="10" max="10" width="14.140625" style="12" bestFit="1" customWidth="1"/>
    <col min="11" max="11" width="13.5703125" style="12" customWidth="1"/>
    <col min="12" max="12" width="12" style="12" bestFit="1" customWidth="1"/>
    <col min="13" max="13" width="12" style="12" customWidth="1"/>
    <col min="14" max="14" width="20.85546875" style="12" bestFit="1" customWidth="1"/>
    <col min="15" max="15" width="51.85546875" style="29" customWidth="1"/>
    <col min="16" max="16384" width="11.42578125" style="12"/>
  </cols>
  <sheetData>
    <row r="1" spans="1:19" x14ac:dyDescent="0.2">
      <c r="A1" s="11" t="s">
        <v>0</v>
      </c>
    </row>
    <row r="2" spans="1:19" ht="23.25" x14ac:dyDescent="0.2">
      <c r="A2" s="13" t="s">
        <v>1</v>
      </c>
      <c r="F2" s="15" t="s">
        <v>2</v>
      </c>
    </row>
    <row r="3" spans="1:19" ht="18" x14ac:dyDescent="0.2">
      <c r="A3" s="14" t="s">
        <v>3</v>
      </c>
      <c r="F3" s="16" t="s">
        <v>4</v>
      </c>
    </row>
    <row r="4" spans="1:19" ht="20.25" x14ac:dyDescent="0.2">
      <c r="A4" s="14"/>
      <c r="F4" s="30" t="s">
        <v>262</v>
      </c>
    </row>
    <row r="5" spans="1:19" ht="63" customHeight="1" x14ac:dyDescent="0.2">
      <c r="A5" s="38" t="s">
        <v>5</v>
      </c>
      <c r="B5" s="38" t="s">
        <v>6</v>
      </c>
      <c r="C5" s="39" t="s">
        <v>7</v>
      </c>
      <c r="D5" s="39" t="s">
        <v>8</v>
      </c>
      <c r="E5" s="39" t="s">
        <v>196</v>
      </c>
      <c r="F5" s="39" t="s">
        <v>9</v>
      </c>
      <c r="G5" s="39" t="s">
        <v>10</v>
      </c>
      <c r="H5" s="39" t="s">
        <v>12</v>
      </c>
      <c r="I5" s="39" t="s">
        <v>11</v>
      </c>
      <c r="J5" s="39" t="s">
        <v>13</v>
      </c>
      <c r="K5" s="39" t="s">
        <v>90</v>
      </c>
      <c r="L5" s="39" t="s">
        <v>91</v>
      </c>
      <c r="M5" s="40" t="s">
        <v>176</v>
      </c>
      <c r="N5" s="40" t="s">
        <v>195</v>
      </c>
      <c r="O5" s="39" t="s">
        <v>183</v>
      </c>
    </row>
    <row r="6" spans="1:19" ht="15.75" x14ac:dyDescent="0.2">
      <c r="A6" s="56"/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9"/>
      <c r="P6" s="3"/>
      <c r="Q6" s="1"/>
      <c r="R6" s="1"/>
      <c r="S6" s="1"/>
    </row>
    <row r="7" spans="1:19" ht="15.75" x14ac:dyDescent="0.2">
      <c r="A7" s="31"/>
      <c r="B7" s="37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24"/>
      <c r="P7" s="27"/>
      <c r="Q7" s="27"/>
      <c r="R7" s="27"/>
    </row>
    <row r="8" spans="1:19" s="3" customFormat="1" ht="15.75" x14ac:dyDescent="0.2">
      <c r="A8" s="31"/>
      <c r="B8" s="37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24"/>
    </row>
    <row r="9" spans="1:19" ht="15.75" x14ac:dyDescent="0.2">
      <c r="A9" s="31"/>
      <c r="B9" s="37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24"/>
      <c r="O9" s="36"/>
      <c r="P9" s="27"/>
      <c r="Q9" s="27"/>
      <c r="R9" s="27"/>
    </row>
    <row r="10" spans="1:19" ht="21" thickBot="1" x14ac:dyDescent="0.35">
      <c r="B10" s="18" t="s">
        <v>42</v>
      </c>
      <c r="C10" s="19">
        <f t="shared" ref="C10:I10" si="0">SUM(C6:C9)</f>
        <v>0</v>
      </c>
      <c r="D10" s="19">
        <f t="shared" si="0"/>
        <v>0</v>
      </c>
      <c r="E10" s="19">
        <f t="shared" si="0"/>
        <v>0</v>
      </c>
      <c r="F10" s="19">
        <f t="shared" si="0"/>
        <v>0</v>
      </c>
      <c r="G10" s="19">
        <f t="shared" si="0"/>
        <v>0</v>
      </c>
      <c r="H10" s="19">
        <f t="shared" si="0"/>
        <v>0</v>
      </c>
      <c r="I10" s="19">
        <f t="shared" si="0"/>
        <v>0</v>
      </c>
      <c r="J10" s="45">
        <f>SUM(J6:J9)</f>
        <v>0</v>
      </c>
      <c r="K10" s="45">
        <f t="shared" ref="K10:M10" si="1">SUM(K6:K9)</f>
        <v>0</v>
      </c>
      <c r="L10" s="45">
        <f t="shared" si="1"/>
        <v>0</v>
      </c>
      <c r="M10" s="45">
        <f t="shared" si="1"/>
        <v>0</v>
      </c>
      <c r="N10" s="23"/>
    </row>
    <row r="11" spans="1:19" ht="12.75" thickTop="1" x14ac:dyDescent="0.2"/>
  </sheetData>
  <pageMargins left="0.75" right="0.75" top="1" bottom="1" header="0.5" footer="0.5"/>
  <pageSetup scale="66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 03</vt:lpstr>
      <vt:lpstr>DISPERCION</vt:lpstr>
      <vt:lpstr>CHEQUE</vt:lpstr>
      <vt:lpstr>CHEQUE FINIQUITOS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Contabilidad Distribuidora MC</cp:lastModifiedBy>
  <cp:lastPrinted>2024-10-23T16:59:51Z</cp:lastPrinted>
  <dcterms:created xsi:type="dcterms:W3CDTF">2024-03-01T19:19:53Z</dcterms:created>
  <dcterms:modified xsi:type="dcterms:W3CDTF">2026-01-17T14:50:22Z</dcterms:modified>
</cp:coreProperties>
</file>